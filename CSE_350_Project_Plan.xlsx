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d.docs.live.net/a19e270734871b32/6th Term/CSE_350_Intro_to_Software/CSE-350-Group-Project/"/>
    </mc:Choice>
  </mc:AlternateContent>
  <xr:revisionPtr revIDLastSave="41" documentId="8_{67ACDB67-83B4-4480-A3DD-8A20E909488F}" xr6:coauthVersionLast="47" xr6:coauthVersionMax="47" xr10:uidLastSave="{94A79175-D5F4-47B9-9CF4-699CE1414EE9}"/>
  <bookViews>
    <workbookView xWindow="-110" yWindow="-110" windowWidth="19420" windowHeight="11500" firstSheet="1" activeTab="1" xr2:uid="{00000000-000D-0000-FFFF-FFFF00000000}"/>
  </bookViews>
  <sheets>
    <sheet name="Dashboard" sheetId="1" r:id="rId1"/>
    <sheet name="Agile Plan" sheetId="2" r:id="rId2"/>
    <sheet name="Sprint Tracker" sheetId="3" r:id="rId3"/>
    <sheet name="Risks &amp; Issues" sheetId="4" r:id="rId4"/>
    <sheet name="Retrospectives" sheetId="5" r:id="rId5"/>
    <sheet name="Lists" sheetId="6" r:id="rId6"/>
  </sheets>
  <definedNames>
    <definedName name="_xlnm._FilterDatabase" localSheetId="1" hidden="1">'Agile Plan'!$A$3:$L$44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4" i="2"/>
  <c r="H13" i="3"/>
  <c r="F13" i="3"/>
  <c r="E13" i="3"/>
  <c r="D13" i="3"/>
  <c r="C13" i="3"/>
  <c r="H12" i="3"/>
  <c r="F12" i="3"/>
  <c r="E12" i="3"/>
  <c r="D12" i="3"/>
  <c r="C12" i="3"/>
  <c r="H11" i="3"/>
  <c r="C24" i="1" s="1"/>
  <c r="F11" i="3"/>
  <c r="E11" i="3"/>
  <c r="D11" i="3"/>
  <c r="C11" i="3"/>
  <c r="H10" i="3"/>
  <c r="C23" i="1" s="1"/>
  <c r="F10" i="3"/>
  <c r="E10" i="3"/>
  <c r="D10" i="3"/>
  <c r="C10" i="3"/>
  <c r="H9" i="3"/>
  <c r="C22" i="1" s="1"/>
  <c r="F9" i="3"/>
  <c r="E9" i="3"/>
  <c r="D9" i="3"/>
  <c r="C9" i="3"/>
  <c r="H8" i="3"/>
  <c r="C21" i="1" s="1"/>
  <c r="F8" i="3"/>
  <c r="E8" i="3"/>
  <c r="D8" i="3"/>
  <c r="C8" i="3"/>
  <c r="G8" i="3" s="1"/>
  <c r="H7" i="3"/>
  <c r="C20" i="1" s="1"/>
  <c r="F7" i="3"/>
  <c r="E7" i="3"/>
  <c r="D7" i="3"/>
  <c r="C7" i="3"/>
  <c r="H6" i="3"/>
  <c r="C19" i="1" s="1"/>
  <c r="F6" i="3"/>
  <c r="E6" i="3"/>
  <c r="D6" i="3"/>
  <c r="C6" i="3"/>
  <c r="H5" i="3"/>
  <c r="C18" i="1" s="1"/>
  <c r="F5" i="3"/>
  <c r="E5" i="3"/>
  <c r="D5" i="3"/>
  <c r="C5" i="3"/>
  <c r="H4" i="3"/>
  <c r="C17" i="1" s="1"/>
  <c r="F4" i="3"/>
  <c r="E4" i="3"/>
  <c r="D4" i="3"/>
  <c r="C4" i="3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B33" i="1"/>
  <c r="B32" i="1"/>
  <c r="B31" i="1"/>
  <c r="B30" i="1"/>
  <c r="C26" i="1"/>
  <c r="C25" i="1"/>
  <c r="C13" i="1"/>
  <c r="B13" i="1"/>
  <c r="C12" i="1"/>
  <c r="B12" i="1"/>
  <c r="C11" i="1"/>
  <c r="B11" i="1"/>
  <c r="C10" i="1"/>
  <c r="B10" i="1"/>
  <c r="I7" i="1"/>
  <c r="F7" i="1"/>
  <c r="C7" i="1"/>
  <c r="H4" i="1"/>
  <c r="F4" i="1"/>
  <c r="D4" i="1"/>
  <c r="B4" i="1"/>
  <c r="D10" i="1" l="1"/>
  <c r="D11" i="1"/>
  <c r="G13" i="3"/>
  <c r="D12" i="1"/>
  <c r="G7" i="3"/>
  <c r="I7" i="3" s="1"/>
  <c r="G10" i="3"/>
  <c r="B23" i="1" s="1"/>
  <c r="G5" i="3"/>
  <c r="I5" i="3" s="1"/>
  <c r="D13" i="1"/>
  <c r="G4" i="3"/>
  <c r="I4" i="3" s="1"/>
  <c r="G9" i="3"/>
  <c r="I9" i="3" s="1"/>
  <c r="G12" i="3"/>
  <c r="I12" i="3" s="1"/>
  <c r="G11" i="3"/>
  <c r="I11" i="3" s="1"/>
  <c r="G6" i="3"/>
  <c r="I6" i="3" s="1"/>
  <c r="I10" i="3"/>
  <c r="I13" i="3"/>
  <c r="B26" i="1"/>
  <c r="B21" i="1"/>
  <c r="I8" i="3"/>
  <c r="B24" i="1" l="1"/>
  <c r="B20" i="1"/>
  <c r="B25" i="1"/>
  <c r="B18" i="1"/>
  <c r="B22" i="1"/>
  <c r="B19" i="1"/>
  <c r="B17" i="1"/>
  <c r="D19" i="1"/>
  <c r="J6" i="3"/>
  <c r="E19" i="1" s="1"/>
  <c r="D22" i="1"/>
  <c r="J9" i="3"/>
  <c r="E22" i="1" s="1"/>
  <c r="D17" i="1"/>
  <c r="J4" i="3"/>
  <c r="E17" i="1" s="1"/>
  <c r="J13" i="3"/>
  <c r="E26" i="1" s="1"/>
  <c r="D26" i="1"/>
  <c r="D20" i="1"/>
  <c r="J7" i="3"/>
  <c r="E20" i="1" s="1"/>
  <c r="J11" i="3"/>
  <c r="E24" i="1" s="1"/>
  <c r="D24" i="1"/>
  <c r="J8" i="3"/>
  <c r="E21" i="1" s="1"/>
  <c r="D21" i="1"/>
  <c r="J5" i="3"/>
  <c r="E18" i="1" s="1"/>
  <c r="D18" i="1"/>
  <c r="D25" i="1"/>
  <c r="J12" i="3"/>
  <c r="E25" i="1" s="1"/>
  <c r="J10" i="3"/>
  <c r="E23" i="1" s="1"/>
  <c r="D23" i="1"/>
</calcChain>
</file>

<file path=xl/sharedStrings.xml><?xml version="1.0" encoding="utf-8"?>
<sst xmlns="http://schemas.openxmlformats.org/spreadsheetml/2006/main" count="385" uniqueCount="129">
  <si>
    <t>Agile Management Dashboard — 10 Weeks</t>
  </si>
  <si>
    <t>Total Tasks</t>
  </si>
  <si>
    <t>Completed</t>
  </si>
  <si>
    <t>In Progress</t>
  </si>
  <si>
    <t>Blocked</t>
  </si>
  <si>
    <t>Overall Completion</t>
  </si>
  <si>
    <t>Open Risks</t>
  </si>
  <si>
    <t>High Risks</t>
  </si>
  <si>
    <t>Member</t>
  </si>
  <si>
    <t>Assigned Tasks</t>
  </si>
  <si>
    <t>Completed Tasks</t>
  </si>
  <si>
    <t>Completion %</t>
  </si>
  <si>
    <t>Annemarie</t>
  </si>
  <si>
    <t>Cobrin</t>
  </si>
  <si>
    <t>Nick</t>
  </si>
  <si>
    <t>Brandon</t>
  </si>
  <si>
    <t>Week</t>
  </si>
  <si>
    <t>Planned Pts</t>
  </si>
  <si>
    <t>Completed Pts</t>
  </si>
  <si>
    <t>Sprint Status</t>
  </si>
  <si>
    <t>Status</t>
  </si>
  <si>
    <t>Count</t>
  </si>
  <si>
    <t>Not Started</t>
  </si>
  <si>
    <t>Done</t>
  </si>
  <si>
    <t>10-Week Agile Management Plan</t>
  </si>
  <si>
    <t>Task / Story</t>
  </si>
  <si>
    <t>Type</t>
  </si>
  <si>
    <t>Owner</t>
  </si>
  <si>
    <t>Priority</t>
  </si>
  <si>
    <t>Start Date</t>
  </si>
  <si>
    <t>Due Date</t>
  </si>
  <si>
    <t>Estimate (Pts)</t>
  </si>
  <si>
    <t>Actual (Pts)</t>
  </si>
  <si>
    <t>% Complete</t>
  </si>
  <si>
    <t>Notes</t>
  </si>
  <si>
    <t xml:space="preserve">Create the agile plan </t>
  </si>
  <si>
    <t>Task</t>
  </si>
  <si>
    <t>High</t>
  </si>
  <si>
    <t>Make the flow chart for the back-end</t>
  </si>
  <si>
    <t>Functional  and non- Functional requirements, requirement priority, slides</t>
  </si>
  <si>
    <t>Risk analysis, ethical issues, and frontend slides</t>
  </si>
  <si>
    <t>Requirement slides</t>
  </si>
  <si>
    <t>Start to make the frame of the website</t>
  </si>
  <si>
    <t>Medium</t>
  </si>
  <si>
    <t>Look into the database set up</t>
  </si>
  <si>
    <t>Start drawing out what we want the UI to look like</t>
  </si>
  <si>
    <t>Help with the background knowledge about weather and database</t>
  </si>
  <si>
    <t>Finish up the frame of the website</t>
  </si>
  <si>
    <t>Finish up putting in the database</t>
  </si>
  <si>
    <t>Finish up with UI design</t>
  </si>
  <si>
    <t>Finish with dataset</t>
  </si>
  <si>
    <t xml:space="preserve">Wrap up anything that wasn't finished and start back-end </t>
  </si>
  <si>
    <t>Start doing the back-end stuff</t>
  </si>
  <si>
    <t>Start putting the UI design into the program</t>
  </si>
  <si>
    <t>Start doing back-end stuff</t>
  </si>
  <si>
    <t>Help finish up applying the UI</t>
  </si>
  <si>
    <t>Finish back-end stuff</t>
  </si>
  <si>
    <t>Finish applying the UI</t>
  </si>
  <si>
    <t>Start testing the website</t>
  </si>
  <si>
    <t>Continue testing and debugging</t>
  </si>
  <si>
    <t>Finish testing and fixing the problems and turn in assignment</t>
  </si>
  <si>
    <t>Start putting all of our written things together</t>
  </si>
  <si>
    <t>Compile writing</t>
  </si>
  <si>
    <t>Review written report and turn it in</t>
  </si>
  <si>
    <t xml:space="preserve">Review written report </t>
  </si>
  <si>
    <t>Review written report</t>
  </si>
  <si>
    <t>Revire written report</t>
  </si>
  <si>
    <t>Sprint Tracker — 10 Weeks</t>
  </si>
  <si>
    <t>Sprint Goal</t>
  </si>
  <si>
    <t>Annemarie Pts</t>
  </si>
  <si>
    <t>Cobrin Pts</t>
  </si>
  <si>
    <t>Nick Pts</t>
  </si>
  <si>
    <t>Brandon Pts</t>
  </si>
  <si>
    <t>Sprint Notes</t>
  </si>
  <si>
    <t>Get the presentation demo done</t>
  </si>
  <si>
    <t>Confirm the database we are doing and the information we are comparing. Also start doing the frame of the website</t>
  </si>
  <si>
    <t>Finish doing the frame, add database and start making decisions on what it will look like</t>
  </si>
  <si>
    <t>Start applying the UI that we decided on and finish the back-end</t>
  </si>
  <si>
    <t>Start the testing phase</t>
  </si>
  <si>
    <t>Continue testing phase and fix problems along the way</t>
  </si>
  <si>
    <t>Finish testing and complete the deployment demo</t>
  </si>
  <si>
    <t>Start putting together the written report</t>
  </si>
  <si>
    <t>Turn in the written report (by 11/30)</t>
  </si>
  <si>
    <t>Risks &amp; Issues Log</t>
  </si>
  <si>
    <t>ID</t>
  </si>
  <si>
    <t>Date Logged</t>
  </si>
  <si>
    <t>Risk / Issue</t>
  </si>
  <si>
    <t>Impact</t>
  </si>
  <si>
    <t>Severity</t>
  </si>
  <si>
    <t>Mitigation / Action</t>
  </si>
  <si>
    <t>Resolution / Notes</t>
  </si>
  <si>
    <t>R-01</t>
  </si>
  <si>
    <t>Open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</si>
  <si>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</si>
  <si>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</si>
  <si>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</si>
  <si>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</si>
  <si>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</si>
  <si>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</si>
  <si>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</si>
  <si>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</si>
  <si>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</si>
  <si>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</si>
  <si>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</si>
  <si>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</si>
  <si>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</si>
  <si>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</si>
  <si>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</si>
  <si>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</si>
  <si>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</si>
  <si>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</si>
  <si>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</si>
  <si>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10-Week Retrospectives</t>
  </si>
  <si>
    <t>What Went Well?</t>
  </si>
  <si>
    <t>What Didn't Go Well?</t>
  </si>
  <si>
    <t>What Should We Try?</t>
  </si>
  <si>
    <t>Action Owner</t>
  </si>
  <si>
    <t>Action Due</t>
  </si>
  <si>
    <t>Follow-up Status</t>
  </si>
  <si>
    <t>Lists &amp; Dropdown Values</t>
  </si>
  <si>
    <t>Members</t>
  </si>
  <si>
    <t>Risk Status</t>
  </si>
  <si>
    <t>Story</t>
  </si>
  <si>
    <t>Monitoring</t>
  </si>
  <si>
    <t>Low</t>
  </si>
  <si>
    <t>Bug</t>
  </si>
  <si>
    <t>Mitigated</t>
  </si>
  <si>
    <t>Milestone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</si>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</sst>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22"/>
      <color rgb="FF1F4E78"/>
      <name val="Calibri"/>
    </font>
    <font>
      <b/>
      <sz val="11"/>
      <color rgb="FF404040"/>
      <name val="Calibri"/>
    </font>
    <font>
      <b/>
      <sz val="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8064A2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top" wrapText="1"/>
    </xf>
    <xf numFmtId="9" fontId="5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9" fontId="0" fillId="0" borderId="0" xfId="0" applyNumberFormat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4">
    <dxf>
      <fill>
        <patternFill patternType="solid">
          <fgColor rgb="FFF4CCCC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Tasks by Member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Assigned Tasks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Dashboard!$A$10:$A$13</c:f>
              <c:strCache>
                <c:ptCount val="4"/>
                <c:pt idx="0">
                  <c:v>Annemarie</c:v>
                </c:pt>
                <c:pt idx="1">
                  <c:v>Cobrin</c:v>
                </c:pt>
                <c:pt idx="2">
                  <c:v>Nick</c:v>
                </c:pt>
                <c:pt idx="3">
                  <c:v>Brandon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C-445F-BE7C-A0ED3CBB7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Task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Dashboard!$A$30:$A$33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Blocked</c:v>
                </c:pt>
                <c:pt idx="3">
                  <c:v>Done</c:v>
                </c:pt>
              </c:strCache>
            </c:strRef>
          </c:cat>
          <c:val>
            <c:numRef>
              <c:f>Dashboard!$B$30:$B$33</c:f>
              <c:numCache>
                <c:formatCode>General</c:formatCode>
                <c:ptCount val="4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D-47D5-8E1C-B5AD3F94D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Weekly Completion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Dashboard!$D$16</c:f>
              <c:strCache>
                <c:ptCount val="1"/>
                <c:pt idx="0">
                  <c:v>Completion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Dashboard!$A$17:$A$26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Dashboard!$D$17:$D$26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23-4575-A40C-9A9AA615F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Completion %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8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Table" displayName="RiskTable" ref="A3:J23">
  <autoFilter ref="A3:J23" xr:uid="{00000000-0009-0000-0100-000002000000}"/>
  <tableColumns count="10">
    <tableColumn id="1" xr3:uid="{00000000-0010-0000-0100-000001000000}" name="ID"/>
    <tableColumn id="2" xr3:uid="{00000000-0010-0000-0100-000002000000}" name="Date Logged"/>
    <tableColumn id="3" xr3:uid="{00000000-0010-0000-0100-000003000000}" name="Risk / Issue"/>
    <tableColumn id="4" xr3:uid="{00000000-0010-0000-0100-000004000000}" name="Impact"/>
    <tableColumn id="5" xr3:uid="{00000000-0010-0000-0100-000005000000}" name="Severity"/>
    <tableColumn id="6" xr3:uid="{00000000-0010-0000-0100-000006000000}" name="Owner"/>
    <tableColumn id="7" xr3:uid="{00000000-0010-0000-0100-000007000000}" name="Mitigation / Action"/>
    <tableColumn id="8" xr3:uid="{00000000-0010-0000-0100-000008000000}" name="Due Date"/>
    <tableColumn id="9" xr3:uid="{00000000-0010-0000-0100-000009000000}" name="Status"/>
    <tableColumn id="10" xr3:uid="{00000000-0010-0000-0100-00000A000000}" name="Resolution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troTable" displayName="RetroTable" ref="A3:G13">
  <autoFilter ref="A3:G13" xr:uid="{00000000-0009-0000-0100-000003000000}"/>
  <tableColumns count="7">
    <tableColumn id="1" xr3:uid="{00000000-0010-0000-0200-000001000000}" name="Week"/>
    <tableColumn id="2" xr3:uid="{00000000-0010-0000-0200-000002000000}" name="What Went Well?"/>
    <tableColumn id="3" xr3:uid="{00000000-0010-0000-0200-000003000000}" name="What Didn't Go Well?"/>
    <tableColumn id="4" xr3:uid="{00000000-0010-0000-0200-000004000000}" name="What Should We Try?"/>
    <tableColumn id="5" xr3:uid="{00000000-0010-0000-0200-000005000000}" name="Action Owner"/>
    <tableColumn id="6" xr3:uid="{00000000-0010-0000-0200-000006000000}" name="Action Due"/>
    <tableColumn id="7" xr3:uid="{00000000-0010-0000-0200-000007000000}" name="Follow-up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showGridLines="0" workbookViewId="0">
      <pane ySplit="8" topLeftCell="A9" activePane="bottomLeft" state="frozen"/>
      <selection pane="bottomLeft" activeCell="J9" sqref="J9"/>
    </sheetView>
  </sheetViews>
  <sheetFormatPr defaultRowHeight="14.45"/>
  <cols>
    <col min="1" max="10" width="18" customWidth="1"/>
  </cols>
  <sheetData>
    <row r="1" spans="1:10" ht="27.95" customHeight="1">
      <c r="A1" s="12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3" spans="1:10">
      <c r="A3" s="11"/>
      <c r="B3" s="13" t="s">
        <v>1</v>
      </c>
      <c r="C3" s="15"/>
      <c r="D3" s="13" t="s">
        <v>2</v>
      </c>
      <c r="E3" s="15"/>
      <c r="F3" s="13" t="s">
        <v>3</v>
      </c>
      <c r="G3" s="15"/>
      <c r="H3" s="13" t="s">
        <v>4</v>
      </c>
      <c r="I3" s="15"/>
      <c r="J3" s="11"/>
    </row>
    <row r="4" spans="1:10">
      <c r="A4" s="11"/>
      <c r="B4" s="14">
        <f>COUNTA('Agile Plan'!$B$4:$B$44)</f>
        <v>41</v>
      </c>
      <c r="C4" s="15"/>
      <c r="D4" s="14">
        <f>COUNTIF('Agile Plan'!$F$4:$F$44,"Done")</f>
        <v>6</v>
      </c>
      <c r="E4" s="15"/>
      <c r="F4" s="14">
        <f>COUNTIF('Agile Plan'!$F$4:$F$44,"In Progress")</f>
        <v>0</v>
      </c>
      <c r="G4" s="15"/>
      <c r="H4" s="14">
        <f>COUNTIF('Agile Plan'!$F$4:$F$44,"Blocked")</f>
        <v>0</v>
      </c>
      <c r="I4" s="15"/>
      <c r="J4" s="11"/>
    </row>
    <row r="5" spans="1:10">
      <c r="A5" s="11"/>
      <c r="B5" s="15"/>
      <c r="C5" s="15"/>
      <c r="D5" s="15"/>
      <c r="E5" s="15"/>
      <c r="F5" s="15"/>
      <c r="G5" s="15"/>
      <c r="H5" s="15"/>
      <c r="I5" s="15"/>
      <c r="J5" s="11"/>
    </row>
    <row r="7" spans="1:10" ht="23.45">
      <c r="A7" s="11"/>
      <c r="B7" s="1" t="s">
        <v>5</v>
      </c>
      <c r="C7" s="2">
        <f>IF(COUNTA('Agile Plan'!$B$4:$B$44)=0,0,COUNTIF('Agile Plan'!$F$4:$F$44,"Done")/COUNTA('Agile Plan'!$B$4:$B$44))</f>
        <v>0.14634146341463414</v>
      </c>
      <c r="D7" s="11"/>
      <c r="E7" s="3" t="s">
        <v>6</v>
      </c>
      <c r="F7" s="4">
        <f>COUNTIF('Risks &amp; Issues'!$I$4:$I$23,"Open")</f>
        <v>20</v>
      </c>
      <c r="G7" s="11"/>
      <c r="H7" s="3" t="s">
        <v>7</v>
      </c>
      <c r="I7" s="4">
        <f>COUNTIF('Risks &amp; Issues'!$E$4:$E$23,"High")</f>
        <v>0</v>
      </c>
      <c r="J7" s="11"/>
    </row>
    <row r="9" spans="1:10" ht="30" customHeight="1">
      <c r="A9" s="5" t="s">
        <v>8</v>
      </c>
      <c r="B9" s="5" t="s">
        <v>9</v>
      </c>
      <c r="C9" s="5" t="s">
        <v>10</v>
      </c>
      <c r="D9" s="5" t="s">
        <v>11</v>
      </c>
      <c r="E9" s="11"/>
      <c r="F9" s="11"/>
      <c r="G9" s="11"/>
      <c r="H9" s="11"/>
      <c r="I9" s="11"/>
      <c r="J9" s="11"/>
    </row>
    <row r="10" spans="1:10">
      <c r="A10" s="3" t="s">
        <v>12</v>
      </c>
      <c r="B10" s="3">
        <f>COUNTIF('Agile Plan'!$D$4:$D$44,A10)</f>
        <v>11</v>
      </c>
      <c r="C10" s="3">
        <f>COUNTIFS('Agile Plan'!$D$4:$D$44,A10,'Agile Plan'!$F$4:$F$44,"Done")</f>
        <v>3</v>
      </c>
      <c r="D10" s="6">
        <f>IF(B10=0,0,C10/B10)</f>
        <v>0.27272727272727271</v>
      </c>
      <c r="E10" s="11"/>
      <c r="F10" s="11"/>
      <c r="G10" s="11"/>
      <c r="H10" s="11"/>
      <c r="I10" s="11"/>
      <c r="J10" s="11"/>
    </row>
    <row r="11" spans="1:10">
      <c r="A11" s="3" t="s">
        <v>13</v>
      </c>
      <c r="B11" s="3">
        <f>COUNTIF('Agile Plan'!$D$4:$D$44,A11)</f>
        <v>10</v>
      </c>
      <c r="C11" s="3">
        <f>COUNTIFS('Agile Plan'!$D$4:$D$44,A11,'Agile Plan'!$F$4:$F$44,"Done")</f>
        <v>1</v>
      </c>
      <c r="D11" s="6">
        <f>IF(B11=0,0,C11/B11)</f>
        <v>0.1</v>
      </c>
      <c r="E11" s="11"/>
      <c r="F11" s="11"/>
      <c r="G11" s="11"/>
      <c r="H11" s="11"/>
      <c r="I11" s="11"/>
      <c r="J11" s="11"/>
    </row>
    <row r="12" spans="1:10">
      <c r="A12" s="3" t="s">
        <v>14</v>
      </c>
      <c r="B12" s="3">
        <f>COUNTIF('Agile Plan'!$D$4:$D$44,A12)</f>
        <v>10</v>
      </c>
      <c r="C12" s="3">
        <f>COUNTIFS('Agile Plan'!$D$4:$D$44,A12,'Agile Plan'!$F$4:$F$44,"Done")</f>
        <v>1</v>
      </c>
      <c r="D12" s="6">
        <f>IF(B12=0,0,C12/B12)</f>
        <v>0.1</v>
      </c>
      <c r="E12" s="11"/>
      <c r="F12" s="11"/>
      <c r="G12" s="11"/>
      <c r="H12" s="11"/>
      <c r="I12" s="11"/>
      <c r="J12" s="11"/>
    </row>
    <row r="13" spans="1:10">
      <c r="A13" s="3" t="s">
        <v>15</v>
      </c>
      <c r="B13" s="3">
        <f>COUNTIF('Agile Plan'!$D$4:$D$44,A13)</f>
        <v>10</v>
      </c>
      <c r="C13" s="3">
        <f>COUNTIFS('Agile Plan'!$D$4:$D$44,A13,'Agile Plan'!$F$4:$F$44,"Done")</f>
        <v>1</v>
      </c>
      <c r="D13" s="6">
        <f>IF(B13=0,0,C13/B13)</f>
        <v>0.1</v>
      </c>
      <c r="E13" s="11"/>
      <c r="F13" s="11"/>
      <c r="G13" s="11"/>
      <c r="H13" s="11"/>
      <c r="I13" s="11"/>
      <c r="J13" s="11"/>
    </row>
    <row r="16" spans="1:10" ht="30" customHeight="1">
      <c r="A16" s="5" t="s">
        <v>16</v>
      </c>
      <c r="B16" s="5" t="s">
        <v>17</v>
      </c>
      <c r="C16" s="5" t="s">
        <v>18</v>
      </c>
      <c r="D16" s="5" t="s">
        <v>11</v>
      </c>
      <c r="E16" s="5" t="s">
        <v>19</v>
      </c>
      <c r="F16" s="11"/>
      <c r="G16" s="11"/>
      <c r="H16" s="11"/>
      <c r="I16" s="11"/>
      <c r="J16" s="11"/>
    </row>
    <row r="17" spans="1:5">
      <c r="A17" s="3">
        <v>1</v>
      </c>
      <c r="B17" s="3">
        <f>'Sprint Tracker'!G4</f>
        <v>0</v>
      </c>
      <c r="C17" s="3">
        <f>'Sprint Tracker'!H4</f>
        <v>0</v>
      </c>
      <c r="D17" s="6">
        <f>'Sprint Tracker'!I4</f>
        <v>0</v>
      </c>
      <c r="E17" s="3" t="str">
        <f>'Sprint Tracker'!J4</f>
        <v>Not Started</v>
      </c>
    </row>
    <row r="18" spans="1:5">
      <c r="A18" s="3">
        <v>2</v>
      </c>
      <c r="B18" s="3">
        <f>'Sprint Tracker'!G5</f>
        <v>0</v>
      </c>
      <c r="C18" s="3">
        <f>'Sprint Tracker'!H5</f>
        <v>0</v>
      </c>
      <c r="D18" s="6">
        <f>'Sprint Tracker'!I5</f>
        <v>0</v>
      </c>
      <c r="E18" s="3" t="str">
        <f>'Sprint Tracker'!J5</f>
        <v>Not Started</v>
      </c>
    </row>
    <row r="19" spans="1:5">
      <c r="A19" s="3">
        <v>3</v>
      </c>
      <c r="B19" s="3">
        <f>'Sprint Tracker'!G6</f>
        <v>0</v>
      </c>
      <c r="C19" s="3">
        <f>'Sprint Tracker'!H6</f>
        <v>0</v>
      </c>
      <c r="D19" s="6">
        <f>'Sprint Tracker'!I6</f>
        <v>0</v>
      </c>
      <c r="E19" s="3" t="str">
        <f>'Sprint Tracker'!J6</f>
        <v>Not Started</v>
      </c>
    </row>
    <row r="20" spans="1:5">
      <c r="A20" s="3">
        <v>4</v>
      </c>
      <c r="B20" s="3">
        <f>'Sprint Tracker'!G7</f>
        <v>0</v>
      </c>
      <c r="C20" s="3">
        <f>'Sprint Tracker'!H7</f>
        <v>0</v>
      </c>
      <c r="D20" s="6">
        <f>'Sprint Tracker'!I7</f>
        <v>0</v>
      </c>
      <c r="E20" s="3" t="str">
        <f>'Sprint Tracker'!J7</f>
        <v>Not Started</v>
      </c>
    </row>
    <row r="21" spans="1:5">
      <c r="A21" s="3">
        <v>5</v>
      </c>
      <c r="B21" s="3">
        <f>'Sprint Tracker'!G8</f>
        <v>0</v>
      </c>
      <c r="C21" s="3">
        <f>'Sprint Tracker'!H8</f>
        <v>0</v>
      </c>
      <c r="D21" s="6">
        <f>'Sprint Tracker'!I8</f>
        <v>0</v>
      </c>
      <c r="E21" s="3" t="str">
        <f>'Sprint Tracker'!J8</f>
        <v>Not Started</v>
      </c>
    </row>
    <row r="22" spans="1:5">
      <c r="A22" s="3">
        <v>6</v>
      </c>
      <c r="B22" s="3">
        <f>'Sprint Tracker'!G9</f>
        <v>0</v>
      </c>
      <c r="C22" s="3">
        <f>'Sprint Tracker'!H9</f>
        <v>0</v>
      </c>
      <c r="D22" s="6">
        <f>'Sprint Tracker'!I9</f>
        <v>0</v>
      </c>
      <c r="E22" s="3" t="str">
        <f>'Sprint Tracker'!J9</f>
        <v>Not Started</v>
      </c>
    </row>
    <row r="23" spans="1:5">
      <c r="A23" s="3">
        <v>7</v>
      </c>
      <c r="B23" s="3">
        <f>'Sprint Tracker'!G10</f>
        <v>0</v>
      </c>
      <c r="C23" s="3">
        <f>'Sprint Tracker'!H10</f>
        <v>0</v>
      </c>
      <c r="D23" s="6">
        <f>'Sprint Tracker'!I10</f>
        <v>0</v>
      </c>
      <c r="E23" s="3" t="str">
        <f>'Sprint Tracker'!J10</f>
        <v>Not Started</v>
      </c>
    </row>
    <row r="24" spans="1:5">
      <c r="A24" s="3">
        <v>8</v>
      </c>
      <c r="B24" s="3">
        <f>'Sprint Tracker'!G11</f>
        <v>0</v>
      </c>
      <c r="C24" s="3">
        <f>'Sprint Tracker'!H11</f>
        <v>0</v>
      </c>
      <c r="D24" s="6">
        <f>'Sprint Tracker'!I11</f>
        <v>0</v>
      </c>
      <c r="E24" s="3" t="str">
        <f>'Sprint Tracker'!J11</f>
        <v>Not Started</v>
      </c>
    </row>
    <row r="25" spans="1:5">
      <c r="A25" s="3">
        <v>9</v>
      </c>
      <c r="B25" s="3">
        <f>'Sprint Tracker'!G12</f>
        <v>0</v>
      </c>
      <c r="C25" s="3">
        <f>'Sprint Tracker'!H12</f>
        <v>0</v>
      </c>
      <c r="D25" s="6">
        <f>'Sprint Tracker'!I12</f>
        <v>0</v>
      </c>
      <c r="E25" s="3" t="str">
        <f>'Sprint Tracker'!J12</f>
        <v>Not Started</v>
      </c>
    </row>
    <row r="26" spans="1:5">
      <c r="A26" s="3">
        <v>10</v>
      </c>
      <c r="B26" s="3">
        <f>'Sprint Tracker'!G13</f>
        <v>0</v>
      </c>
      <c r="C26" s="3">
        <f>'Sprint Tracker'!H13</f>
        <v>0</v>
      </c>
      <c r="D26" s="6">
        <f>'Sprint Tracker'!I13</f>
        <v>0</v>
      </c>
      <c r="E26" s="3" t="str">
        <f>'Sprint Tracker'!J13</f>
        <v>Not Started</v>
      </c>
    </row>
    <row r="29" spans="1:5" ht="30" customHeight="1">
      <c r="A29" s="5" t="s">
        <v>20</v>
      </c>
      <c r="B29" s="5" t="s">
        <v>21</v>
      </c>
      <c r="C29" s="11"/>
      <c r="D29" s="11"/>
      <c r="E29" s="11"/>
    </row>
    <row r="30" spans="1:5">
      <c r="A30" s="3" t="s">
        <v>22</v>
      </c>
      <c r="B30" s="3">
        <f>COUNTIF('Agile Plan'!$F$4:$F$44,A30)</f>
        <v>35</v>
      </c>
      <c r="C30" s="11"/>
      <c r="D30" s="11"/>
      <c r="E30" s="11"/>
    </row>
    <row r="31" spans="1:5">
      <c r="A31" s="3" t="s">
        <v>3</v>
      </c>
      <c r="B31" s="3">
        <f>COUNTIF('Agile Plan'!$F$4:$F$44,A31)</f>
        <v>0</v>
      </c>
      <c r="C31" s="11"/>
      <c r="D31" s="11"/>
      <c r="E31" s="11"/>
    </row>
    <row r="32" spans="1:5">
      <c r="A32" s="3" t="s">
        <v>4</v>
      </c>
      <c r="B32" s="3">
        <f>COUNTIF('Agile Plan'!$F$4:$F$44,A32)</f>
        <v>0</v>
      </c>
      <c r="C32" s="11"/>
      <c r="D32" s="11"/>
      <c r="E32" s="11"/>
    </row>
    <row r="33" spans="1:2">
      <c r="A33" s="3" t="s">
        <v>23</v>
      </c>
      <c r="B33" s="3">
        <f>COUNTIF('Agile Plan'!$F$4:$F$44,A33)</f>
        <v>6</v>
      </c>
    </row>
  </sheetData>
  <mergeCells count="9">
    <mergeCell ref="F3:G3"/>
    <mergeCell ref="A1:J1"/>
    <mergeCell ref="H3:I3"/>
    <mergeCell ref="F4:G5"/>
    <mergeCell ref="D4:E5"/>
    <mergeCell ref="H4:I5"/>
    <mergeCell ref="B3:C3"/>
    <mergeCell ref="D3:E3"/>
    <mergeCell ref="B4:C5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showGridLines="0" tabSelected="1" workbookViewId="0">
      <pane ySplit="3" topLeftCell="A8" activePane="bottomLeft" state="frozen"/>
      <selection pane="bottomLeft" activeCell="I9" sqref="I9"/>
    </sheetView>
  </sheetViews>
  <sheetFormatPr defaultRowHeight="14.45"/>
  <cols>
    <col min="1" max="1" width="9" customWidth="1"/>
    <col min="2" max="2" width="32" customWidth="1"/>
    <col min="3" max="3" width="14" customWidth="1"/>
    <col min="4" max="4" width="15" customWidth="1"/>
    <col min="5" max="5" width="12" customWidth="1"/>
    <col min="6" max="6" width="16" customWidth="1"/>
    <col min="7" max="8" width="13" customWidth="1"/>
    <col min="9" max="9" width="15" customWidth="1"/>
    <col min="10" max="11" width="13" customWidth="1"/>
    <col min="12" max="12" width="32" customWidth="1"/>
  </cols>
  <sheetData>
    <row r="1" spans="1:12" ht="27.95" customHeight="1">
      <c r="A1" s="12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30" customHeight="1">
      <c r="A3" s="5" t="s">
        <v>16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20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</row>
    <row r="4" spans="1:12">
      <c r="A4" s="7">
        <v>1</v>
      </c>
      <c r="B4" s="7" t="s">
        <v>35</v>
      </c>
      <c r="C4" s="7" t="s">
        <v>36</v>
      </c>
      <c r="D4" s="7" t="s">
        <v>12</v>
      </c>
      <c r="E4" s="7" t="s">
        <v>37</v>
      </c>
      <c r="F4" s="7" t="s">
        <v>23</v>
      </c>
      <c r="G4" s="8">
        <v>46283</v>
      </c>
      <c r="H4" s="8">
        <v>46290</v>
      </c>
      <c r="I4" s="7">
        <v>4</v>
      </c>
      <c r="J4" s="7"/>
      <c r="K4" s="9">
        <f>IF(F4="Done",100,IF(F4="In Progress",50,IF(F4="Blocked",25,0)))</f>
        <v>100</v>
      </c>
      <c r="L4" s="7"/>
    </row>
    <row r="5" spans="1:12" ht="29.1">
      <c r="A5" s="7">
        <v>1</v>
      </c>
      <c r="B5" s="7" t="s">
        <v>38</v>
      </c>
      <c r="C5" s="7" t="s">
        <v>36</v>
      </c>
      <c r="D5" s="7" t="s">
        <v>12</v>
      </c>
      <c r="E5" s="7" t="s">
        <v>37</v>
      </c>
      <c r="F5" s="7" t="s">
        <v>23</v>
      </c>
      <c r="G5" s="8">
        <v>46283</v>
      </c>
      <c r="H5" s="8">
        <v>46290</v>
      </c>
      <c r="I5" s="7">
        <v>5</v>
      </c>
      <c r="J5" s="7"/>
      <c r="K5" s="9">
        <f>IF(F5="Done",100,IF(F5="In Progress",50,IF(F5="Blocked",25,0)))</f>
        <v>100</v>
      </c>
      <c r="L5" s="7"/>
    </row>
    <row r="6" spans="1:12" ht="43.5">
      <c r="A6" s="7">
        <v>1</v>
      </c>
      <c r="B6" s="7" t="s">
        <v>39</v>
      </c>
      <c r="C6" s="7" t="s">
        <v>36</v>
      </c>
      <c r="D6" s="7" t="s">
        <v>13</v>
      </c>
      <c r="E6" s="7" t="s">
        <v>37</v>
      </c>
      <c r="F6" s="7" t="s">
        <v>23</v>
      </c>
      <c r="G6" s="8"/>
      <c r="H6" s="8"/>
      <c r="I6" s="7"/>
      <c r="J6" s="7"/>
      <c r="K6" s="9">
        <f t="shared" ref="K6:K44" si="0">IF(F6="Done",100,IF(F6="In Progress",50,IF(F6="Blocked",25,0)))</f>
        <v>100</v>
      </c>
      <c r="L6" s="7"/>
    </row>
    <row r="7" spans="1:12" ht="29.1">
      <c r="A7" s="7">
        <v>1</v>
      </c>
      <c r="B7" s="7" t="s">
        <v>40</v>
      </c>
      <c r="C7" s="7" t="s">
        <v>36</v>
      </c>
      <c r="D7" s="7" t="s">
        <v>14</v>
      </c>
      <c r="E7" s="7" t="s">
        <v>37</v>
      </c>
      <c r="F7" s="7" t="s">
        <v>23</v>
      </c>
      <c r="G7" s="8"/>
      <c r="H7" s="8"/>
      <c r="I7" s="7"/>
      <c r="J7" s="7"/>
      <c r="K7" s="9">
        <f t="shared" si="0"/>
        <v>100</v>
      </c>
      <c r="L7" s="7"/>
    </row>
    <row r="8" spans="1:12">
      <c r="A8" s="7">
        <v>1</v>
      </c>
      <c r="B8" s="7" t="s">
        <v>41</v>
      </c>
      <c r="C8" s="7" t="s">
        <v>36</v>
      </c>
      <c r="D8" s="7" t="s">
        <v>15</v>
      </c>
      <c r="E8" s="7" t="s">
        <v>37</v>
      </c>
      <c r="F8" s="7" t="s">
        <v>23</v>
      </c>
      <c r="G8" s="8"/>
      <c r="H8" s="8"/>
      <c r="I8" s="7"/>
      <c r="J8" s="7"/>
      <c r="K8" s="9">
        <f t="shared" si="0"/>
        <v>100</v>
      </c>
      <c r="L8" s="7"/>
    </row>
    <row r="9" spans="1:12" ht="30.75">
      <c r="A9" s="7">
        <v>2</v>
      </c>
      <c r="B9" s="7" t="s">
        <v>42</v>
      </c>
      <c r="C9" s="7" t="s">
        <v>36</v>
      </c>
      <c r="D9" s="7" t="s">
        <v>12</v>
      </c>
      <c r="E9" s="7" t="s">
        <v>43</v>
      </c>
      <c r="F9" s="7" t="s">
        <v>23</v>
      </c>
      <c r="G9" s="8">
        <v>46297</v>
      </c>
      <c r="H9" s="8">
        <v>46298</v>
      </c>
      <c r="I9" s="7">
        <v>6</v>
      </c>
      <c r="J9" s="7"/>
      <c r="K9" s="9">
        <f t="shared" si="0"/>
        <v>100</v>
      </c>
      <c r="L9" s="7"/>
    </row>
    <row r="10" spans="1:12">
      <c r="A10" s="7">
        <v>2</v>
      </c>
      <c r="B10" s="7" t="s">
        <v>44</v>
      </c>
      <c r="C10" s="7" t="s">
        <v>36</v>
      </c>
      <c r="D10" s="7" t="s">
        <v>13</v>
      </c>
      <c r="E10" s="7" t="s">
        <v>43</v>
      </c>
      <c r="F10" s="7" t="s">
        <v>22</v>
      </c>
      <c r="G10" s="8"/>
      <c r="H10" s="8"/>
      <c r="I10" s="7"/>
      <c r="J10" s="7"/>
      <c r="K10" s="9">
        <f t="shared" si="0"/>
        <v>0</v>
      </c>
      <c r="L10" s="7"/>
    </row>
    <row r="11" spans="1:12" ht="29.1">
      <c r="A11" s="7">
        <v>2</v>
      </c>
      <c r="B11" s="7" t="s">
        <v>45</v>
      </c>
      <c r="C11" s="7" t="s">
        <v>36</v>
      </c>
      <c r="D11" s="7" t="s">
        <v>14</v>
      </c>
      <c r="E11" s="7" t="s">
        <v>43</v>
      </c>
      <c r="F11" s="7" t="s">
        <v>22</v>
      </c>
      <c r="G11" s="8"/>
      <c r="H11" s="8"/>
      <c r="I11" s="7"/>
      <c r="J11" s="7"/>
      <c r="K11" s="9">
        <f t="shared" si="0"/>
        <v>0</v>
      </c>
      <c r="L11" s="7"/>
    </row>
    <row r="12" spans="1:12" ht="43.5">
      <c r="A12" s="7">
        <v>2</v>
      </c>
      <c r="B12" s="7" t="s">
        <v>46</v>
      </c>
      <c r="C12" s="7" t="s">
        <v>36</v>
      </c>
      <c r="D12" s="7" t="s">
        <v>15</v>
      </c>
      <c r="E12" s="7" t="s">
        <v>43</v>
      </c>
      <c r="F12" s="7" t="s">
        <v>22</v>
      </c>
      <c r="G12" s="8"/>
      <c r="H12" s="8"/>
      <c r="I12" s="7"/>
      <c r="J12" s="7"/>
      <c r="K12" s="9">
        <f t="shared" si="0"/>
        <v>0</v>
      </c>
      <c r="L12" s="7"/>
    </row>
    <row r="13" spans="1:12">
      <c r="A13" s="7">
        <v>3</v>
      </c>
      <c r="B13" s="7" t="s">
        <v>47</v>
      </c>
      <c r="C13" s="7" t="s">
        <v>36</v>
      </c>
      <c r="D13" s="7" t="s">
        <v>12</v>
      </c>
      <c r="E13" s="7" t="s">
        <v>37</v>
      </c>
      <c r="F13" s="7" t="s">
        <v>22</v>
      </c>
      <c r="G13" s="8"/>
      <c r="H13" s="8"/>
      <c r="I13" s="7"/>
      <c r="J13" s="7"/>
      <c r="K13" s="9">
        <f t="shared" si="0"/>
        <v>0</v>
      </c>
      <c r="L13" s="7"/>
    </row>
    <row r="14" spans="1:12">
      <c r="A14" s="7">
        <v>3</v>
      </c>
      <c r="B14" s="7" t="s">
        <v>48</v>
      </c>
      <c r="C14" s="7" t="s">
        <v>36</v>
      </c>
      <c r="D14" s="7" t="s">
        <v>13</v>
      </c>
      <c r="E14" s="7" t="s">
        <v>43</v>
      </c>
      <c r="F14" s="7" t="s">
        <v>22</v>
      </c>
      <c r="G14" s="8"/>
      <c r="H14" s="8"/>
      <c r="I14" s="7"/>
      <c r="J14" s="7"/>
      <c r="K14" s="9">
        <f t="shared" si="0"/>
        <v>0</v>
      </c>
      <c r="L14" s="7"/>
    </row>
    <row r="15" spans="1:12">
      <c r="A15" s="7">
        <v>3</v>
      </c>
      <c r="B15" s="7" t="s">
        <v>49</v>
      </c>
      <c r="C15" s="7" t="s">
        <v>36</v>
      </c>
      <c r="D15" s="7" t="s">
        <v>14</v>
      </c>
      <c r="E15" s="7" t="s">
        <v>43</v>
      </c>
      <c r="F15" s="7" t="s">
        <v>22</v>
      </c>
      <c r="G15" s="8"/>
      <c r="H15" s="8"/>
      <c r="I15" s="7"/>
      <c r="J15" s="7"/>
      <c r="K15" s="9">
        <f t="shared" si="0"/>
        <v>0</v>
      </c>
      <c r="L15" s="7"/>
    </row>
    <row r="16" spans="1:12">
      <c r="A16" s="7">
        <v>3</v>
      </c>
      <c r="B16" s="7" t="s">
        <v>50</v>
      </c>
      <c r="C16" s="7" t="s">
        <v>36</v>
      </c>
      <c r="D16" s="7" t="s">
        <v>15</v>
      </c>
      <c r="E16" s="7" t="s">
        <v>43</v>
      </c>
      <c r="F16" s="7" t="s">
        <v>22</v>
      </c>
      <c r="G16" s="8"/>
      <c r="H16" s="8"/>
      <c r="I16" s="7"/>
      <c r="J16" s="7"/>
      <c r="K16" s="9">
        <f t="shared" si="0"/>
        <v>0</v>
      </c>
      <c r="L16" s="7"/>
    </row>
    <row r="17" spans="1:12" ht="29.1">
      <c r="A17" s="7">
        <v>4</v>
      </c>
      <c r="B17" s="7" t="s">
        <v>51</v>
      </c>
      <c r="C17" s="7" t="s">
        <v>36</v>
      </c>
      <c r="D17" s="7" t="s">
        <v>12</v>
      </c>
      <c r="E17" s="7" t="s">
        <v>43</v>
      </c>
      <c r="F17" s="7" t="s">
        <v>22</v>
      </c>
      <c r="G17" s="8"/>
      <c r="H17" s="8"/>
      <c r="I17" s="7"/>
      <c r="J17" s="7"/>
      <c r="K17" s="9">
        <f t="shared" si="0"/>
        <v>0</v>
      </c>
      <c r="L17" s="7"/>
    </row>
    <row r="18" spans="1:12">
      <c r="A18" s="7">
        <v>4</v>
      </c>
      <c r="B18" s="7" t="s">
        <v>52</v>
      </c>
      <c r="C18" s="7" t="s">
        <v>36</v>
      </c>
      <c r="D18" s="7" t="s">
        <v>13</v>
      </c>
      <c r="E18" s="7" t="s">
        <v>43</v>
      </c>
      <c r="F18" s="7" t="s">
        <v>22</v>
      </c>
      <c r="G18" s="8"/>
      <c r="H18" s="8"/>
      <c r="I18" s="7"/>
      <c r="J18" s="7"/>
      <c r="K18" s="9">
        <f t="shared" si="0"/>
        <v>0</v>
      </c>
      <c r="L18" s="7"/>
    </row>
    <row r="19" spans="1:12" ht="29.1">
      <c r="A19" s="7">
        <v>4</v>
      </c>
      <c r="B19" s="7" t="s">
        <v>53</v>
      </c>
      <c r="C19" s="7" t="s">
        <v>36</v>
      </c>
      <c r="D19" s="7" t="s">
        <v>14</v>
      </c>
      <c r="E19" s="7" t="s">
        <v>43</v>
      </c>
      <c r="F19" s="7" t="s">
        <v>22</v>
      </c>
      <c r="G19" s="8"/>
      <c r="H19" s="8"/>
      <c r="I19" s="7"/>
      <c r="J19" s="7"/>
      <c r="K19" s="9">
        <f t="shared" si="0"/>
        <v>0</v>
      </c>
      <c r="L19" s="7"/>
    </row>
    <row r="20" spans="1:12">
      <c r="A20" s="7">
        <v>4</v>
      </c>
      <c r="B20" s="7" t="s">
        <v>54</v>
      </c>
      <c r="C20" s="7" t="s">
        <v>36</v>
      </c>
      <c r="D20" s="7" t="s">
        <v>15</v>
      </c>
      <c r="E20" s="7" t="s">
        <v>43</v>
      </c>
      <c r="F20" s="7" t="s">
        <v>22</v>
      </c>
      <c r="G20" s="8"/>
      <c r="H20" s="8"/>
      <c r="I20" s="7"/>
      <c r="J20" s="7"/>
      <c r="K20" s="9">
        <f t="shared" si="0"/>
        <v>0</v>
      </c>
      <c r="L20" s="7"/>
    </row>
    <row r="21" spans="1:12">
      <c r="A21" s="7">
        <v>5</v>
      </c>
      <c r="B21" s="7" t="s">
        <v>55</v>
      </c>
      <c r="C21" s="7" t="s">
        <v>36</v>
      </c>
      <c r="D21" s="7" t="s">
        <v>12</v>
      </c>
      <c r="E21" s="7" t="s">
        <v>43</v>
      </c>
      <c r="F21" s="7" t="s">
        <v>22</v>
      </c>
      <c r="G21" s="8"/>
      <c r="H21" s="8"/>
      <c r="I21" s="7"/>
      <c r="J21" s="7"/>
      <c r="K21" s="9">
        <f t="shared" si="0"/>
        <v>0</v>
      </c>
      <c r="L21" s="7"/>
    </row>
    <row r="22" spans="1:12">
      <c r="A22" s="7">
        <v>5</v>
      </c>
      <c r="B22" s="7" t="s">
        <v>56</v>
      </c>
      <c r="C22" s="7" t="s">
        <v>36</v>
      </c>
      <c r="D22" s="7" t="s">
        <v>13</v>
      </c>
      <c r="E22" s="7" t="s">
        <v>43</v>
      </c>
      <c r="F22" s="7" t="s">
        <v>22</v>
      </c>
      <c r="G22" s="8"/>
      <c r="H22" s="8"/>
      <c r="I22" s="7"/>
      <c r="J22" s="7"/>
      <c r="K22" s="9">
        <f t="shared" si="0"/>
        <v>0</v>
      </c>
      <c r="L22" s="7"/>
    </row>
    <row r="23" spans="1:12">
      <c r="A23" s="7">
        <v>5</v>
      </c>
      <c r="B23" s="7" t="s">
        <v>57</v>
      </c>
      <c r="C23" s="7" t="s">
        <v>36</v>
      </c>
      <c r="D23" s="7" t="s">
        <v>14</v>
      </c>
      <c r="E23" s="7" t="s">
        <v>43</v>
      </c>
      <c r="F23" s="7" t="s">
        <v>22</v>
      </c>
      <c r="G23" s="8"/>
      <c r="H23" s="8"/>
      <c r="I23" s="7"/>
      <c r="J23" s="7"/>
      <c r="K23" s="9">
        <f t="shared" si="0"/>
        <v>0</v>
      </c>
      <c r="L23" s="7"/>
    </row>
    <row r="24" spans="1:12">
      <c r="A24" s="7">
        <v>5</v>
      </c>
      <c r="B24" s="7" t="s">
        <v>56</v>
      </c>
      <c r="C24" s="7" t="s">
        <v>36</v>
      </c>
      <c r="D24" s="7" t="s">
        <v>15</v>
      </c>
      <c r="E24" s="7" t="s">
        <v>43</v>
      </c>
      <c r="F24" s="7" t="s">
        <v>22</v>
      </c>
      <c r="G24" s="8"/>
      <c r="H24" s="8"/>
      <c r="I24" s="7"/>
      <c r="J24" s="7"/>
      <c r="K24" s="9">
        <f t="shared" si="0"/>
        <v>0</v>
      </c>
      <c r="L24" s="7"/>
    </row>
    <row r="25" spans="1:12">
      <c r="A25" s="7">
        <v>6</v>
      </c>
      <c r="B25" s="7" t="s">
        <v>58</v>
      </c>
      <c r="C25" s="7" t="s">
        <v>36</v>
      </c>
      <c r="D25" s="7" t="s">
        <v>12</v>
      </c>
      <c r="E25" s="7" t="s">
        <v>43</v>
      </c>
      <c r="F25" s="7" t="s">
        <v>22</v>
      </c>
      <c r="G25" s="8"/>
      <c r="H25" s="8"/>
      <c r="I25" s="7"/>
      <c r="J25" s="7"/>
      <c r="K25" s="9">
        <f t="shared" si="0"/>
        <v>0</v>
      </c>
      <c r="L25" s="7"/>
    </row>
    <row r="26" spans="1:12">
      <c r="A26" s="7">
        <v>6</v>
      </c>
      <c r="B26" s="7" t="s">
        <v>58</v>
      </c>
      <c r="C26" s="7" t="s">
        <v>36</v>
      </c>
      <c r="D26" s="7" t="s">
        <v>13</v>
      </c>
      <c r="E26" s="7" t="s">
        <v>43</v>
      </c>
      <c r="F26" s="7" t="s">
        <v>22</v>
      </c>
      <c r="G26" s="8"/>
      <c r="H26" s="8"/>
      <c r="I26" s="7"/>
      <c r="J26" s="7"/>
      <c r="K26" s="9">
        <f t="shared" si="0"/>
        <v>0</v>
      </c>
      <c r="L26" s="7"/>
    </row>
    <row r="27" spans="1:12">
      <c r="A27" s="7">
        <v>6</v>
      </c>
      <c r="B27" s="7" t="s">
        <v>58</v>
      </c>
      <c r="C27" s="7" t="s">
        <v>36</v>
      </c>
      <c r="D27" s="7" t="s">
        <v>14</v>
      </c>
      <c r="E27" s="7" t="s">
        <v>43</v>
      </c>
      <c r="F27" s="7" t="s">
        <v>22</v>
      </c>
      <c r="G27" s="8"/>
      <c r="H27" s="8"/>
      <c r="I27" s="7"/>
      <c r="J27" s="7"/>
      <c r="K27" s="9">
        <f t="shared" si="0"/>
        <v>0</v>
      </c>
      <c r="L27" s="7"/>
    </row>
    <row r="28" spans="1:12">
      <c r="A28" s="7">
        <v>6</v>
      </c>
      <c r="B28" s="7" t="s">
        <v>58</v>
      </c>
      <c r="C28" s="7" t="s">
        <v>36</v>
      </c>
      <c r="D28" s="7" t="s">
        <v>15</v>
      </c>
      <c r="E28" s="7" t="s">
        <v>43</v>
      </c>
      <c r="F28" s="7" t="s">
        <v>22</v>
      </c>
      <c r="G28" s="8"/>
      <c r="H28" s="8"/>
      <c r="I28" s="7"/>
      <c r="J28" s="7"/>
      <c r="K28" s="9">
        <f t="shared" si="0"/>
        <v>0</v>
      </c>
      <c r="L28" s="7"/>
    </row>
    <row r="29" spans="1:12">
      <c r="A29" s="7">
        <v>7</v>
      </c>
      <c r="B29" s="7" t="s">
        <v>59</v>
      </c>
      <c r="C29" s="7" t="s">
        <v>36</v>
      </c>
      <c r="D29" s="7" t="s">
        <v>12</v>
      </c>
      <c r="E29" s="7" t="s">
        <v>43</v>
      </c>
      <c r="F29" s="7" t="s">
        <v>22</v>
      </c>
      <c r="G29" s="8"/>
      <c r="H29" s="8"/>
      <c r="I29" s="7"/>
      <c r="J29" s="7"/>
      <c r="K29" s="9">
        <f t="shared" si="0"/>
        <v>0</v>
      </c>
      <c r="L29" s="7"/>
    </row>
    <row r="30" spans="1:12">
      <c r="A30" s="7">
        <v>7</v>
      </c>
      <c r="B30" s="7" t="s">
        <v>59</v>
      </c>
      <c r="C30" s="7" t="s">
        <v>36</v>
      </c>
      <c r="D30" s="7" t="s">
        <v>13</v>
      </c>
      <c r="E30" s="7" t="s">
        <v>43</v>
      </c>
      <c r="F30" s="7" t="s">
        <v>22</v>
      </c>
      <c r="G30" s="8"/>
      <c r="H30" s="8"/>
      <c r="I30" s="7"/>
      <c r="J30" s="7"/>
      <c r="K30" s="9">
        <f t="shared" si="0"/>
        <v>0</v>
      </c>
      <c r="L30" s="7"/>
    </row>
    <row r="31" spans="1:12">
      <c r="A31" s="7">
        <v>7</v>
      </c>
      <c r="B31" s="7" t="s">
        <v>59</v>
      </c>
      <c r="C31" s="7" t="s">
        <v>36</v>
      </c>
      <c r="D31" s="7" t="s">
        <v>14</v>
      </c>
      <c r="E31" s="7" t="s">
        <v>43</v>
      </c>
      <c r="F31" s="7" t="s">
        <v>22</v>
      </c>
      <c r="G31" s="8"/>
      <c r="H31" s="8"/>
      <c r="I31" s="7"/>
      <c r="J31" s="7"/>
      <c r="K31" s="9">
        <f t="shared" si="0"/>
        <v>0</v>
      </c>
      <c r="L31" s="7"/>
    </row>
    <row r="32" spans="1:12">
      <c r="A32" s="7">
        <v>7</v>
      </c>
      <c r="B32" s="7" t="s">
        <v>59</v>
      </c>
      <c r="C32" s="7" t="s">
        <v>36</v>
      </c>
      <c r="D32" s="7" t="s">
        <v>15</v>
      </c>
      <c r="E32" s="7" t="s">
        <v>43</v>
      </c>
      <c r="F32" s="7" t="s">
        <v>22</v>
      </c>
      <c r="G32" s="8"/>
      <c r="H32" s="8"/>
      <c r="I32" s="7"/>
      <c r="J32" s="7"/>
      <c r="K32" s="9">
        <f t="shared" si="0"/>
        <v>0</v>
      </c>
      <c r="L32" s="7"/>
    </row>
    <row r="33" spans="1:12" ht="29.1">
      <c r="A33" s="7">
        <v>8</v>
      </c>
      <c r="B33" s="7" t="s">
        <v>60</v>
      </c>
      <c r="C33" s="7" t="s">
        <v>36</v>
      </c>
      <c r="D33" s="7" t="s">
        <v>12</v>
      </c>
      <c r="E33" s="7" t="s">
        <v>43</v>
      </c>
      <c r="F33" s="7" t="s">
        <v>22</v>
      </c>
      <c r="G33" s="8"/>
      <c r="H33" s="8"/>
      <c r="I33" s="7"/>
      <c r="J33" s="7"/>
      <c r="K33" s="9">
        <f t="shared" si="0"/>
        <v>0</v>
      </c>
      <c r="L33" s="7"/>
    </row>
    <row r="34" spans="1:12" ht="29.1">
      <c r="A34" s="7">
        <v>8</v>
      </c>
      <c r="B34" s="7" t="s">
        <v>60</v>
      </c>
      <c r="C34" s="7" t="s">
        <v>36</v>
      </c>
      <c r="D34" s="7" t="s">
        <v>13</v>
      </c>
      <c r="E34" s="7" t="s">
        <v>43</v>
      </c>
      <c r="F34" s="7" t="s">
        <v>22</v>
      </c>
      <c r="G34" s="8"/>
      <c r="H34" s="8"/>
      <c r="I34" s="7"/>
      <c r="J34" s="7"/>
      <c r="K34" s="9">
        <f t="shared" si="0"/>
        <v>0</v>
      </c>
      <c r="L34" s="7"/>
    </row>
    <row r="35" spans="1:12" ht="29.1">
      <c r="A35" s="7">
        <v>8</v>
      </c>
      <c r="B35" s="7" t="s">
        <v>60</v>
      </c>
      <c r="C35" s="7" t="s">
        <v>36</v>
      </c>
      <c r="D35" s="7" t="s">
        <v>14</v>
      </c>
      <c r="E35" s="7" t="s">
        <v>43</v>
      </c>
      <c r="F35" s="7" t="s">
        <v>22</v>
      </c>
      <c r="G35" s="8"/>
      <c r="H35" s="8"/>
      <c r="I35" s="7"/>
      <c r="J35" s="7"/>
      <c r="K35" s="9">
        <f t="shared" si="0"/>
        <v>0</v>
      </c>
      <c r="L35" s="7"/>
    </row>
    <row r="36" spans="1:12" ht="29.1">
      <c r="A36" s="7">
        <v>8</v>
      </c>
      <c r="B36" s="7" t="s">
        <v>60</v>
      </c>
      <c r="C36" s="7" t="s">
        <v>36</v>
      </c>
      <c r="D36" s="7" t="s">
        <v>15</v>
      </c>
      <c r="E36" s="7" t="s">
        <v>43</v>
      </c>
      <c r="F36" s="7" t="s">
        <v>22</v>
      </c>
      <c r="G36" s="8"/>
      <c r="H36" s="8"/>
      <c r="I36" s="7"/>
      <c r="J36" s="7"/>
      <c r="K36" s="9">
        <f t="shared" si="0"/>
        <v>0</v>
      </c>
      <c r="L36" s="7"/>
    </row>
    <row r="37" spans="1:12" ht="29.1">
      <c r="A37" s="7">
        <v>9</v>
      </c>
      <c r="B37" s="7" t="s">
        <v>61</v>
      </c>
      <c r="C37" s="7" t="s">
        <v>36</v>
      </c>
      <c r="D37" s="7" t="s">
        <v>12</v>
      </c>
      <c r="E37" s="7" t="s">
        <v>43</v>
      </c>
      <c r="F37" s="7" t="s">
        <v>22</v>
      </c>
      <c r="G37" s="8"/>
      <c r="H37" s="8"/>
      <c r="I37" s="7"/>
      <c r="J37" s="7"/>
      <c r="K37" s="9">
        <f t="shared" si="0"/>
        <v>0</v>
      </c>
      <c r="L37" s="7"/>
    </row>
    <row r="38" spans="1:12">
      <c r="A38" s="7">
        <v>9</v>
      </c>
      <c r="B38" s="7" t="s">
        <v>62</v>
      </c>
      <c r="C38" s="7" t="s">
        <v>36</v>
      </c>
      <c r="D38" s="7" t="s">
        <v>13</v>
      </c>
      <c r="E38" s="7" t="s">
        <v>43</v>
      </c>
      <c r="F38" s="7" t="s">
        <v>22</v>
      </c>
      <c r="G38" s="8"/>
      <c r="H38" s="8"/>
      <c r="I38" s="7"/>
      <c r="J38" s="7"/>
      <c r="K38" s="9">
        <f t="shared" si="0"/>
        <v>0</v>
      </c>
      <c r="L38" s="7"/>
    </row>
    <row r="39" spans="1:12">
      <c r="A39" s="7">
        <v>9</v>
      </c>
      <c r="B39" s="7" t="s">
        <v>62</v>
      </c>
      <c r="C39" s="7" t="s">
        <v>36</v>
      </c>
      <c r="D39" s="7" t="s">
        <v>14</v>
      </c>
      <c r="E39" s="7" t="s">
        <v>43</v>
      </c>
      <c r="F39" s="7" t="s">
        <v>22</v>
      </c>
      <c r="G39" s="8"/>
      <c r="H39" s="8"/>
      <c r="I39" s="7"/>
      <c r="J39" s="7"/>
      <c r="K39" s="9">
        <f t="shared" si="0"/>
        <v>0</v>
      </c>
      <c r="L39" s="7"/>
    </row>
    <row r="40" spans="1:12">
      <c r="A40" s="7">
        <v>9</v>
      </c>
      <c r="B40" s="7" t="s">
        <v>62</v>
      </c>
      <c r="C40" s="7" t="s">
        <v>36</v>
      </c>
      <c r="D40" s="7" t="s">
        <v>15</v>
      </c>
      <c r="E40" s="7" t="s">
        <v>43</v>
      </c>
      <c r="F40" s="7" t="s">
        <v>22</v>
      </c>
      <c r="G40" s="8"/>
      <c r="H40" s="8"/>
      <c r="I40" s="7"/>
      <c r="J40" s="7"/>
      <c r="K40" s="9">
        <f t="shared" si="0"/>
        <v>0</v>
      </c>
      <c r="L40" s="7"/>
    </row>
    <row r="41" spans="1:12">
      <c r="A41" s="7">
        <v>10</v>
      </c>
      <c r="B41" s="7" t="s">
        <v>63</v>
      </c>
      <c r="C41" s="7" t="s">
        <v>36</v>
      </c>
      <c r="D41" s="7" t="s">
        <v>12</v>
      </c>
      <c r="E41" s="7" t="s">
        <v>43</v>
      </c>
      <c r="F41" s="7" t="s">
        <v>22</v>
      </c>
      <c r="G41" s="8"/>
      <c r="H41" s="8"/>
      <c r="I41" s="7"/>
      <c r="J41" s="7"/>
      <c r="K41" s="9">
        <f t="shared" si="0"/>
        <v>0</v>
      </c>
      <c r="L41" s="7"/>
    </row>
    <row r="42" spans="1:12">
      <c r="A42" s="7">
        <v>10</v>
      </c>
      <c r="B42" s="7" t="s">
        <v>64</v>
      </c>
      <c r="C42" s="7" t="s">
        <v>36</v>
      </c>
      <c r="D42" s="7" t="s">
        <v>13</v>
      </c>
      <c r="E42" s="7" t="s">
        <v>43</v>
      </c>
      <c r="F42" s="7" t="s">
        <v>22</v>
      </c>
      <c r="G42" s="8"/>
      <c r="H42" s="8"/>
      <c r="I42" s="7"/>
      <c r="J42" s="7"/>
      <c r="K42" s="9">
        <f t="shared" si="0"/>
        <v>0</v>
      </c>
      <c r="L42" s="7"/>
    </row>
    <row r="43" spans="1:12">
      <c r="A43" s="7">
        <v>10</v>
      </c>
      <c r="B43" s="7" t="s">
        <v>65</v>
      </c>
      <c r="C43" s="7" t="s">
        <v>36</v>
      </c>
      <c r="D43" s="7" t="s">
        <v>14</v>
      </c>
      <c r="E43" s="7" t="s">
        <v>43</v>
      </c>
      <c r="F43" s="7" t="s">
        <v>22</v>
      </c>
      <c r="G43" s="8"/>
      <c r="H43" s="8"/>
      <c r="I43" s="7"/>
      <c r="J43" s="7"/>
      <c r="K43" s="9">
        <f t="shared" si="0"/>
        <v>0</v>
      </c>
      <c r="L43" s="7"/>
    </row>
    <row r="44" spans="1:12">
      <c r="A44" s="7">
        <v>10</v>
      </c>
      <c r="B44" s="7" t="s">
        <v>66</v>
      </c>
      <c r="C44" s="7" t="s">
        <v>36</v>
      </c>
      <c r="D44" s="7" t="s">
        <v>15</v>
      </c>
      <c r="E44" s="7" t="s">
        <v>43</v>
      </c>
      <c r="F44" s="7" t="s">
        <v>22</v>
      </c>
      <c r="G44" s="8"/>
      <c r="H44" s="8"/>
      <c r="I44" s="7"/>
      <c r="J44" s="7"/>
      <c r="K44" s="9">
        <f t="shared" si="0"/>
        <v>0</v>
      </c>
      <c r="L44" s="7"/>
    </row>
  </sheetData>
  <autoFilter ref="A3:L44" xr:uid="{00000000-0009-0000-0000-000001000000}"/>
  <mergeCells count="1">
    <mergeCell ref="A1:L1"/>
  </mergeCells>
  <conditionalFormatting sqref="F4:F44">
    <cfRule type="cellIs" dxfId="3" priority="1" operator="equal">
      <formula>"Done"</formula>
    </cfRule>
    <cfRule type="cellIs" dxfId="2" priority="2" operator="equal">
      <formula>"Blocked"</formula>
    </cfRule>
    <cfRule type="cellIs" dxfId="1" priority="3" operator="equal">
      <formula>"In Progress"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Lists!$A$4:$A$7</xm:f>
          </x14:formula1>
          <xm:sqref>D4:D44</xm:sqref>
        </x14:dataValidation>
        <x14:dataValidation type="list" allowBlank="1" xr:uid="{00000000-0002-0000-0100-000001000000}">
          <x14:formula1>
            <xm:f>Lists!$B$4:$B$7</xm:f>
          </x14:formula1>
          <xm:sqref>F4:F44</xm:sqref>
        </x14:dataValidation>
        <x14:dataValidation type="list" allowBlank="1" xr:uid="{00000000-0002-0000-0100-000002000000}">
          <x14:formula1>
            <xm:f>Lists!$C$4:$C$6</xm:f>
          </x14:formula1>
          <xm:sqref>E4:E44</xm:sqref>
        </x14:dataValidation>
        <x14:dataValidation type="list" allowBlank="1" xr:uid="{00000000-0002-0000-0100-000003000000}">
          <x14:formula1>
            <xm:f>Lists!$D$4:$D$7</xm:f>
          </x14:formula1>
          <xm:sqref>C4:C44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showGridLines="0" workbookViewId="0">
      <pane ySplit="3" topLeftCell="A4" activePane="bottomLeft" state="frozen"/>
      <selection pane="bottomLeft" activeCell="B13" sqref="B13"/>
    </sheetView>
  </sheetViews>
  <sheetFormatPr defaultRowHeight="14.45"/>
  <cols>
    <col min="1" max="1" width="9" customWidth="1"/>
    <col min="2" max="2" width="40" customWidth="1"/>
    <col min="3" max="3" width="15" customWidth="1"/>
    <col min="4" max="5" width="13" customWidth="1"/>
    <col min="6" max="6" width="15" customWidth="1"/>
    <col min="7" max="7" width="13" customWidth="1"/>
    <col min="8" max="8" width="14" customWidth="1"/>
    <col min="9" max="9" width="13" customWidth="1"/>
    <col min="10" max="10" width="15" customWidth="1"/>
    <col min="11" max="11" width="32" customWidth="1"/>
  </cols>
  <sheetData>
    <row r="1" spans="1:11" ht="27.95" customHeight="1">
      <c r="A1" s="12" t="s">
        <v>67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30" customHeight="1">
      <c r="A3" s="5" t="s">
        <v>16</v>
      </c>
      <c r="B3" s="5" t="s">
        <v>68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17</v>
      </c>
      <c r="H3" s="5" t="s">
        <v>18</v>
      </c>
      <c r="I3" s="5" t="s">
        <v>11</v>
      </c>
      <c r="J3" s="5" t="s">
        <v>19</v>
      </c>
      <c r="K3" s="5" t="s">
        <v>73</v>
      </c>
    </row>
    <row r="4" spans="1:11">
      <c r="A4" s="3">
        <v>1</v>
      </c>
      <c r="B4" s="3" t="s">
        <v>74</v>
      </c>
      <c r="C4" s="3">
        <f>SUMIFS('Agile Plan'!$I$4:$I$44,'Agile Plan'!$A$4:$A$44,$A4,'Agile Plan'!$D$4:$D$44,C$3)</f>
        <v>0</v>
      </c>
      <c r="D4" s="3">
        <f>SUMIFS('Agile Plan'!$I$4:$I$44,'Agile Plan'!$A$4:$A$44,$A4,'Agile Plan'!$D$4:$D$44,D$3)</f>
        <v>0</v>
      </c>
      <c r="E4" s="3">
        <f>SUMIFS('Agile Plan'!$I$4:$I$44,'Agile Plan'!$A$4:$A$44,$A4,'Agile Plan'!$D$4:$D$44,E$3)</f>
        <v>0</v>
      </c>
      <c r="F4" s="3">
        <f>SUMIFS('Agile Plan'!$I$4:$I$44,'Agile Plan'!$A$4:$A$44,$A4,'Agile Plan'!$D$4:$D$44,F$3)</f>
        <v>0</v>
      </c>
      <c r="G4" s="3">
        <f t="shared" ref="G4:G13" si="0">SUM(C4:F4)</f>
        <v>0</v>
      </c>
      <c r="H4" s="3">
        <f>SUMIFS('Agile Plan'!$J$4:$J$44,'Agile Plan'!$A$4:$A$44,$A4)</f>
        <v>0</v>
      </c>
      <c r="I4" s="6">
        <f t="shared" ref="I4:I13" si="1">IF(G4=0,0,H4/G4)</f>
        <v>0</v>
      </c>
      <c r="J4" s="3" t="str">
        <f t="shared" ref="J4:J13" si="2">IF(I4&gt;=1,"Complete",IF(I4&gt;0,"In Progress","Not Started"))</f>
        <v>Not Started</v>
      </c>
      <c r="K4" s="11"/>
    </row>
    <row r="5" spans="1:11" ht="43.5">
      <c r="A5" s="3">
        <v>2</v>
      </c>
      <c r="B5" s="3" t="s">
        <v>75</v>
      </c>
      <c r="C5" s="3">
        <f>SUMIFS('Agile Plan'!$I$4:$I$44,'Agile Plan'!$A$4:$A$44,$A5,'Agile Plan'!$D$4:$D$44,C$3)</f>
        <v>0</v>
      </c>
      <c r="D5" s="3">
        <f>SUMIFS('Agile Plan'!$I$4:$I$44,'Agile Plan'!$A$4:$A$44,$A5,'Agile Plan'!$D$4:$D$44,D$3)</f>
        <v>0</v>
      </c>
      <c r="E5" s="3">
        <f>SUMIFS('Agile Plan'!$I$4:$I$44,'Agile Plan'!$A$4:$A$44,$A5,'Agile Plan'!$D$4:$D$44,E$3)</f>
        <v>0</v>
      </c>
      <c r="F5" s="3">
        <f>SUMIFS('Agile Plan'!$I$4:$I$44,'Agile Plan'!$A$4:$A$44,$A5,'Agile Plan'!$D$4:$D$44,F$3)</f>
        <v>0</v>
      </c>
      <c r="G5" s="3">
        <f t="shared" si="0"/>
        <v>0</v>
      </c>
      <c r="H5" s="3">
        <f>SUMIFS('Agile Plan'!$J$4:$J$44,'Agile Plan'!$A$4:$A$44,$A5)</f>
        <v>0</v>
      </c>
      <c r="I5" s="6">
        <f t="shared" si="1"/>
        <v>0</v>
      </c>
      <c r="J5" s="3" t="str">
        <f t="shared" si="2"/>
        <v>Not Started</v>
      </c>
      <c r="K5" s="11"/>
    </row>
    <row r="6" spans="1:11" ht="29.1">
      <c r="A6" s="3">
        <v>3</v>
      </c>
      <c r="B6" s="3" t="s">
        <v>76</v>
      </c>
      <c r="C6" s="3">
        <f>SUMIFS('Agile Plan'!$I$4:$I$44,'Agile Plan'!$A$4:$A$44,$A6,'Agile Plan'!$D$4:$D$44,C$3)</f>
        <v>0</v>
      </c>
      <c r="D6" s="3">
        <f>SUMIFS('Agile Plan'!$I$4:$I$44,'Agile Plan'!$A$4:$A$44,$A6,'Agile Plan'!$D$4:$D$44,D$3)</f>
        <v>0</v>
      </c>
      <c r="E6" s="3">
        <f>SUMIFS('Agile Plan'!$I$4:$I$44,'Agile Plan'!$A$4:$A$44,$A6,'Agile Plan'!$D$4:$D$44,E$3)</f>
        <v>0</v>
      </c>
      <c r="F6" s="3">
        <f>SUMIFS('Agile Plan'!$I$4:$I$44,'Agile Plan'!$A$4:$A$44,$A6,'Agile Plan'!$D$4:$D$44,F$3)</f>
        <v>0</v>
      </c>
      <c r="G6" s="3">
        <f t="shared" si="0"/>
        <v>0</v>
      </c>
      <c r="H6" s="3">
        <f>SUMIFS('Agile Plan'!$J$4:$J$44,'Agile Plan'!$A$4:$A$44,$A6)</f>
        <v>0</v>
      </c>
      <c r="I6" s="6">
        <f t="shared" si="1"/>
        <v>0</v>
      </c>
      <c r="J6" s="3" t="str">
        <f t="shared" si="2"/>
        <v>Not Started</v>
      </c>
      <c r="K6" s="11"/>
    </row>
    <row r="7" spans="1:11" ht="29.1">
      <c r="A7" s="3">
        <v>4</v>
      </c>
      <c r="B7" s="3" t="s">
        <v>77</v>
      </c>
      <c r="C7" s="3">
        <f>SUMIFS('Agile Plan'!$I$4:$I$44,'Agile Plan'!$A$4:$A$44,$A7,'Agile Plan'!$D$4:$D$44,C$3)</f>
        <v>0</v>
      </c>
      <c r="D7" s="3">
        <f>SUMIFS('Agile Plan'!$I$4:$I$44,'Agile Plan'!$A$4:$A$44,$A7,'Agile Plan'!$D$4:$D$44,D$3)</f>
        <v>0</v>
      </c>
      <c r="E7" s="3">
        <f>SUMIFS('Agile Plan'!$I$4:$I$44,'Agile Plan'!$A$4:$A$44,$A7,'Agile Plan'!$D$4:$D$44,E$3)</f>
        <v>0</v>
      </c>
      <c r="F7" s="3">
        <f>SUMIFS('Agile Plan'!$I$4:$I$44,'Agile Plan'!$A$4:$A$44,$A7,'Agile Plan'!$D$4:$D$44,F$3)</f>
        <v>0</v>
      </c>
      <c r="G7" s="3">
        <f t="shared" si="0"/>
        <v>0</v>
      </c>
      <c r="H7" s="3">
        <f>SUMIFS('Agile Plan'!$J$4:$J$44,'Agile Plan'!$A$4:$A$44,$A7)</f>
        <v>0</v>
      </c>
      <c r="I7" s="6">
        <f t="shared" si="1"/>
        <v>0</v>
      </c>
      <c r="J7" s="3" t="str">
        <f t="shared" si="2"/>
        <v>Not Started</v>
      </c>
      <c r="K7" s="11"/>
    </row>
    <row r="8" spans="1:11">
      <c r="A8" s="3">
        <v>5</v>
      </c>
      <c r="B8" s="3" t="s">
        <v>57</v>
      </c>
      <c r="C8" s="3">
        <f>SUMIFS('Agile Plan'!$I$4:$I$44,'Agile Plan'!$A$4:$A$44,$A8,'Agile Plan'!$D$4:$D$44,C$3)</f>
        <v>0</v>
      </c>
      <c r="D8" s="3">
        <f>SUMIFS('Agile Plan'!$I$4:$I$44,'Agile Plan'!$A$4:$A$44,$A8,'Agile Plan'!$D$4:$D$44,D$3)</f>
        <v>0</v>
      </c>
      <c r="E8" s="3">
        <f>SUMIFS('Agile Plan'!$I$4:$I$44,'Agile Plan'!$A$4:$A$44,$A8,'Agile Plan'!$D$4:$D$44,E$3)</f>
        <v>0</v>
      </c>
      <c r="F8" s="3">
        <f>SUMIFS('Agile Plan'!$I$4:$I$44,'Agile Plan'!$A$4:$A$44,$A8,'Agile Plan'!$D$4:$D$44,F$3)</f>
        <v>0</v>
      </c>
      <c r="G8" s="3">
        <f t="shared" si="0"/>
        <v>0</v>
      </c>
      <c r="H8" s="3">
        <f>SUMIFS('Agile Plan'!$J$4:$J$44,'Agile Plan'!$A$4:$A$44,$A8)</f>
        <v>0</v>
      </c>
      <c r="I8" s="6">
        <f t="shared" si="1"/>
        <v>0</v>
      </c>
      <c r="J8" s="3" t="str">
        <f t="shared" si="2"/>
        <v>Not Started</v>
      </c>
      <c r="K8" s="11"/>
    </row>
    <row r="9" spans="1:11">
      <c r="A9" s="3">
        <v>6</v>
      </c>
      <c r="B9" s="3" t="s">
        <v>78</v>
      </c>
      <c r="C9" s="3">
        <f>SUMIFS('Agile Plan'!$I$4:$I$44,'Agile Plan'!$A$4:$A$44,$A9,'Agile Plan'!$D$4:$D$44,C$3)</f>
        <v>0</v>
      </c>
      <c r="D9" s="3">
        <f>SUMIFS('Agile Plan'!$I$4:$I$44,'Agile Plan'!$A$4:$A$44,$A9,'Agile Plan'!$D$4:$D$44,D$3)</f>
        <v>0</v>
      </c>
      <c r="E9" s="3">
        <f>SUMIFS('Agile Plan'!$I$4:$I$44,'Agile Plan'!$A$4:$A$44,$A9,'Agile Plan'!$D$4:$D$44,E$3)</f>
        <v>0</v>
      </c>
      <c r="F9" s="3">
        <f>SUMIFS('Agile Plan'!$I$4:$I$44,'Agile Plan'!$A$4:$A$44,$A9,'Agile Plan'!$D$4:$D$44,F$3)</f>
        <v>0</v>
      </c>
      <c r="G9" s="3">
        <f t="shared" si="0"/>
        <v>0</v>
      </c>
      <c r="H9" s="3">
        <f>SUMIFS('Agile Plan'!$J$4:$J$44,'Agile Plan'!$A$4:$A$44,$A9)</f>
        <v>0</v>
      </c>
      <c r="I9" s="6">
        <f t="shared" si="1"/>
        <v>0</v>
      </c>
      <c r="J9" s="3" t="str">
        <f t="shared" si="2"/>
        <v>Not Started</v>
      </c>
      <c r="K9" s="11"/>
    </row>
    <row r="10" spans="1:11" ht="29.1">
      <c r="A10" s="3">
        <v>7</v>
      </c>
      <c r="B10" s="3" t="s">
        <v>79</v>
      </c>
      <c r="C10" s="3">
        <f>SUMIFS('Agile Plan'!$I$4:$I$44,'Agile Plan'!$A$4:$A$44,$A10,'Agile Plan'!$D$4:$D$44,C$3)</f>
        <v>0</v>
      </c>
      <c r="D10" s="3">
        <f>SUMIFS('Agile Plan'!$I$4:$I$44,'Agile Plan'!$A$4:$A$44,$A10,'Agile Plan'!$D$4:$D$44,D$3)</f>
        <v>0</v>
      </c>
      <c r="E10" s="3">
        <f>SUMIFS('Agile Plan'!$I$4:$I$44,'Agile Plan'!$A$4:$A$44,$A10,'Agile Plan'!$D$4:$D$44,E$3)</f>
        <v>0</v>
      </c>
      <c r="F10" s="3">
        <f>SUMIFS('Agile Plan'!$I$4:$I$44,'Agile Plan'!$A$4:$A$44,$A10,'Agile Plan'!$D$4:$D$44,F$3)</f>
        <v>0</v>
      </c>
      <c r="G10" s="3">
        <f t="shared" si="0"/>
        <v>0</v>
      </c>
      <c r="H10" s="3">
        <f>SUMIFS('Agile Plan'!$J$4:$J$44,'Agile Plan'!$A$4:$A$44,$A10)</f>
        <v>0</v>
      </c>
      <c r="I10" s="6">
        <f t="shared" si="1"/>
        <v>0</v>
      </c>
      <c r="J10" s="3" t="str">
        <f t="shared" si="2"/>
        <v>Not Started</v>
      </c>
      <c r="K10" s="11"/>
    </row>
    <row r="11" spans="1:11" ht="29.1">
      <c r="A11" s="3">
        <v>8</v>
      </c>
      <c r="B11" s="3" t="s">
        <v>80</v>
      </c>
      <c r="C11" s="3">
        <f>SUMIFS('Agile Plan'!$I$4:$I$44,'Agile Plan'!$A$4:$A$44,$A11,'Agile Plan'!$D$4:$D$44,C$3)</f>
        <v>0</v>
      </c>
      <c r="D11" s="3">
        <f>SUMIFS('Agile Plan'!$I$4:$I$44,'Agile Plan'!$A$4:$A$44,$A11,'Agile Plan'!$D$4:$D$44,D$3)</f>
        <v>0</v>
      </c>
      <c r="E11" s="3">
        <f>SUMIFS('Agile Plan'!$I$4:$I$44,'Agile Plan'!$A$4:$A$44,$A11,'Agile Plan'!$D$4:$D$44,E$3)</f>
        <v>0</v>
      </c>
      <c r="F11" s="3">
        <f>SUMIFS('Agile Plan'!$I$4:$I$44,'Agile Plan'!$A$4:$A$44,$A11,'Agile Plan'!$D$4:$D$44,F$3)</f>
        <v>0</v>
      </c>
      <c r="G11" s="3">
        <f t="shared" si="0"/>
        <v>0</v>
      </c>
      <c r="H11" s="3">
        <f>SUMIFS('Agile Plan'!$J$4:$J$44,'Agile Plan'!$A$4:$A$44,$A11)</f>
        <v>0</v>
      </c>
      <c r="I11" s="6">
        <f t="shared" si="1"/>
        <v>0</v>
      </c>
      <c r="J11" s="3" t="str">
        <f t="shared" si="2"/>
        <v>Not Started</v>
      </c>
      <c r="K11" s="11"/>
    </row>
    <row r="12" spans="1:11">
      <c r="A12" s="3">
        <v>9</v>
      </c>
      <c r="B12" s="3" t="s">
        <v>81</v>
      </c>
      <c r="C12" s="3">
        <f>SUMIFS('Agile Plan'!$I$4:$I$44,'Agile Plan'!$A$4:$A$44,$A12,'Agile Plan'!$D$4:$D$44,C$3)</f>
        <v>0</v>
      </c>
      <c r="D12" s="3">
        <f>SUMIFS('Agile Plan'!$I$4:$I$44,'Agile Plan'!$A$4:$A$44,$A12,'Agile Plan'!$D$4:$D$44,D$3)</f>
        <v>0</v>
      </c>
      <c r="E12" s="3">
        <f>SUMIFS('Agile Plan'!$I$4:$I$44,'Agile Plan'!$A$4:$A$44,$A12,'Agile Plan'!$D$4:$D$44,E$3)</f>
        <v>0</v>
      </c>
      <c r="F12" s="3">
        <f>SUMIFS('Agile Plan'!$I$4:$I$44,'Agile Plan'!$A$4:$A$44,$A12,'Agile Plan'!$D$4:$D$44,F$3)</f>
        <v>0</v>
      </c>
      <c r="G12" s="3">
        <f t="shared" si="0"/>
        <v>0</v>
      </c>
      <c r="H12" s="3">
        <f>SUMIFS('Agile Plan'!$J$4:$J$44,'Agile Plan'!$A$4:$A$44,$A12)</f>
        <v>0</v>
      </c>
      <c r="I12" s="6">
        <f t="shared" si="1"/>
        <v>0</v>
      </c>
      <c r="J12" s="3" t="str">
        <f t="shared" si="2"/>
        <v>Not Started</v>
      </c>
      <c r="K12" s="11"/>
    </row>
    <row r="13" spans="1:11">
      <c r="A13" s="3">
        <v>10</v>
      </c>
      <c r="B13" s="3" t="s">
        <v>82</v>
      </c>
      <c r="C13" s="3">
        <f>SUMIFS('Agile Plan'!$I$4:$I$44,'Agile Plan'!$A$4:$A$44,$A13,'Agile Plan'!$D$4:$D$44,C$3)</f>
        <v>0</v>
      </c>
      <c r="D13" s="3">
        <f>SUMIFS('Agile Plan'!$I$4:$I$44,'Agile Plan'!$A$4:$A$44,$A13,'Agile Plan'!$D$4:$D$44,D$3)</f>
        <v>0</v>
      </c>
      <c r="E13" s="3">
        <f>SUMIFS('Agile Plan'!$I$4:$I$44,'Agile Plan'!$A$4:$A$44,$A13,'Agile Plan'!$D$4:$D$44,E$3)</f>
        <v>0</v>
      </c>
      <c r="F13" s="3">
        <f>SUMIFS('Agile Plan'!$I$4:$I$44,'Agile Plan'!$A$4:$A$44,$A13,'Agile Plan'!$D$4:$D$44,F$3)</f>
        <v>0</v>
      </c>
      <c r="G13" s="3">
        <f t="shared" si="0"/>
        <v>0</v>
      </c>
      <c r="H13" s="3">
        <f>SUMIFS('Agile Plan'!$J$4:$J$44,'Agile Plan'!$A$4:$A$44,$A13)</f>
        <v>0</v>
      </c>
      <c r="I13" s="6">
        <f t="shared" si="1"/>
        <v>0</v>
      </c>
      <c r="J13" s="3" t="str">
        <f t="shared" si="2"/>
        <v>Not Started</v>
      </c>
      <c r="K13" s="11"/>
    </row>
  </sheetData>
  <mergeCells count="1">
    <mergeCell ref="A1:K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>
      <selection sqref="A1:J1"/>
    </sheetView>
  </sheetViews>
  <sheetFormatPr defaultRowHeight="14.45"/>
  <cols>
    <col min="1" max="1" width="10" customWidth="1"/>
    <col min="2" max="2" width="14" customWidth="1"/>
    <col min="3" max="3" width="35" customWidth="1"/>
    <col min="4" max="4" width="30" customWidth="1"/>
    <col min="5" max="5" width="12" customWidth="1"/>
    <col min="6" max="6" width="15" customWidth="1"/>
    <col min="7" max="7" width="35" customWidth="1"/>
    <col min="8" max="8" width="14" customWidth="1"/>
    <col min="9" max="9" width="15" customWidth="1"/>
    <col min="10" max="10" width="35" customWidth="1"/>
  </cols>
  <sheetData>
    <row r="1" spans="1:10" ht="27.95" customHeight="1">
      <c r="A1" s="12" t="s">
        <v>83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30" customHeight="1">
      <c r="A3" s="5" t="s">
        <v>84</v>
      </c>
      <c r="B3" s="5" t="s">
        <v>85</v>
      </c>
      <c r="C3" s="5" t="s">
        <v>86</v>
      </c>
      <c r="D3" s="5" t="s">
        <v>87</v>
      </c>
      <c r="E3" s="5" t="s">
        <v>88</v>
      </c>
      <c r="F3" s="5" t="s">
        <v>27</v>
      </c>
      <c r="G3" s="5" t="s">
        <v>89</v>
      </c>
      <c r="H3" s="5" t="s">
        <v>30</v>
      </c>
      <c r="I3" s="5" t="s">
        <v>20</v>
      </c>
      <c r="J3" s="5" t="s">
        <v>90</v>
      </c>
    </row>
    <row r="4" spans="1:10">
      <c r="A4" s="7" t="s">
        <v>91</v>
      </c>
      <c r="B4" s="8"/>
      <c r="C4" s="7"/>
      <c r="D4" s="7"/>
      <c r="E4" s="7" t="s">
        <v>43</v>
      </c>
      <c r="F4" s="7"/>
      <c r="G4" s="7"/>
      <c r="H4" s="8"/>
      <c r="I4" s="7" t="s">
        <v>92</v>
      </c>
      <c r="J4" s="7"/>
    </row>
    <row r="5" spans="1:10">
      <c r="A5" s="7" t="s">
        <v>93</v>
      </c>
      <c r="B5" s="8"/>
      <c r="C5" s="7"/>
      <c r="D5" s="7"/>
      <c r="E5" s="7" t="s">
        <v>43</v>
      </c>
      <c r="F5" s="7"/>
      <c r="G5" s="7"/>
      <c r="H5" s="8"/>
      <c r="I5" s="7" t="s">
        <v>92</v>
      </c>
      <c r="J5" s="7"/>
    </row>
    <row r="6" spans="1:10">
      <c r="A6" s="7" t="s">
        <v>94</v>
      </c>
      <c r="B6" s="8"/>
      <c r="C6" s="7"/>
      <c r="D6" s="7"/>
      <c r="E6" s="7" t="s">
        <v>43</v>
      </c>
      <c r="F6" s="7"/>
      <c r="G6" s="7"/>
      <c r="H6" s="8"/>
      <c r="I6" s="7" t="s">
        <v>92</v>
      </c>
      <c r="J6" s="7"/>
    </row>
    <row r="7" spans="1:10">
      <c r="A7" s="7" t="s">
        <v>95</v>
      </c>
      <c r="B7" s="8"/>
      <c r="C7" s="7"/>
      <c r="D7" s="7"/>
      <c r="E7" s="7" t="s">
        <v>43</v>
      </c>
      <c r="F7" s="7"/>
      <c r="G7" s="7"/>
      <c r="H7" s="8"/>
      <c r="I7" s="7" t="s">
        <v>92</v>
      </c>
      <c r="J7" s="7"/>
    </row>
    <row r="8" spans="1:10">
      <c r="A8" s="7" t="s">
        <v>96</v>
      </c>
      <c r="B8" s="8"/>
      <c r="C8" s="7"/>
      <c r="D8" s="7"/>
      <c r="E8" s="7" t="s">
        <v>43</v>
      </c>
      <c r="F8" s="7"/>
      <c r="G8" s="7"/>
      <c r="H8" s="8"/>
      <c r="I8" s="7" t="s">
        <v>92</v>
      </c>
      <c r="J8" s="7"/>
    </row>
    <row r="9" spans="1:10">
      <c r="A9" s="7" t="s">
        <v>97</v>
      </c>
      <c r="B9" s="8"/>
      <c r="C9" s="7"/>
      <c r="D9" s="7"/>
      <c r="E9" s="7" t="s">
        <v>43</v>
      </c>
      <c r="F9" s="7"/>
      <c r="G9" s="7"/>
      <c r="H9" s="8"/>
      <c r="I9" s="7" t="s">
        <v>92</v>
      </c>
      <c r="J9" s="7"/>
    </row>
    <row r="10" spans="1:10">
      <c r="A10" s="7" t="s">
        <v>98</v>
      </c>
      <c r="B10" s="8"/>
      <c r="C10" s="7"/>
      <c r="D10" s="7"/>
      <c r="E10" s="7" t="s">
        <v>43</v>
      </c>
      <c r="F10" s="7"/>
      <c r="G10" s="7"/>
      <c r="H10" s="8"/>
      <c r="I10" s="7" t="s">
        <v>92</v>
      </c>
      <c r="J10" s="7"/>
    </row>
    <row r="11" spans="1:10">
      <c r="A11" s="7" t="s">
        <v>99</v>
      </c>
      <c r="B11" s="8"/>
      <c r="C11" s="7"/>
      <c r="D11" s="7"/>
      <c r="E11" s="7" t="s">
        <v>43</v>
      </c>
      <c r="F11" s="7"/>
      <c r="G11" s="7"/>
      <c r="H11" s="8"/>
      <c r="I11" s="7" t="s">
        <v>92</v>
      </c>
      <c r="J11" s="7"/>
    </row>
    <row r="12" spans="1:10">
      <c r="A12" s="7" t="s">
        <v>100</v>
      </c>
      <c r="B12" s="8"/>
      <c r="C12" s="7"/>
      <c r="D12" s="7"/>
      <c r="E12" s="7" t="s">
        <v>43</v>
      </c>
      <c r="F12" s="7"/>
      <c r="G12" s="7"/>
      <c r="H12" s="8"/>
      <c r="I12" s="7" t="s">
        <v>92</v>
      </c>
      <c r="J12" s="7"/>
    </row>
    <row r="13" spans="1:10">
      <c r="A13" s="7" t="s">
        <v>101</v>
      </c>
      <c r="B13" s="8"/>
      <c r="C13" s="7"/>
      <c r="D13" s="7"/>
      <c r="E13" s="7" t="s">
        <v>43</v>
      </c>
      <c r="F13" s="7"/>
      <c r="G13" s="7"/>
      <c r="H13" s="8"/>
      <c r="I13" s="7" t="s">
        <v>92</v>
      </c>
      <c r="J13" s="7"/>
    </row>
    <row r="14" spans="1:10">
      <c r="A14" s="7" t="s">
        <v>102</v>
      </c>
      <c r="B14" s="8"/>
      <c r="C14" s="7"/>
      <c r="D14" s="7"/>
      <c r="E14" s="7" t="s">
        <v>43</v>
      </c>
      <c r="F14" s="7"/>
      <c r="G14" s="7"/>
      <c r="H14" s="8"/>
      <c r="I14" s="7" t="s">
        <v>92</v>
      </c>
      <c r="J14" s="7"/>
    </row>
    <row r="15" spans="1:10">
      <c r="A15" s="7" t="s">
        <v>103</v>
      </c>
      <c r="B15" s="8"/>
      <c r="C15" s="7"/>
      <c r="D15" s="7"/>
      <c r="E15" s="7" t="s">
        <v>43</v>
      </c>
      <c r="F15" s="7"/>
      <c r="G15" s="7"/>
      <c r="H15" s="8"/>
      <c r="I15" s="7" t="s">
        <v>92</v>
      </c>
      <c r="J15" s="7"/>
    </row>
    <row r="16" spans="1:10">
      <c r="A16" s="7" t="s">
        <v>104</v>
      </c>
      <c r="B16" s="8"/>
      <c r="C16" s="7"/>
      <c r="D16" s="7"/>
      <c r="E16" s="7" t="s">
        <v>43</v>
      </c>
      <c r="F16" s="7"/>
      <c r="G16" s="7"/>
      <c r="H16" s="8"/>
      <c r="I16" s="7" t="s">
        <v>92</v>
      </c>
      <c r="J16" s="7"/>
    </row>
    <row r="17" spans="1:10">
      <c r="A17" s="7" t="s">
        <v>105</v>
      </c>
      <c r="B17" s="8"/>
      <c r="C17" s="7"/>
      <c r="D17" s="7"/>
      <c r="E17" s="7" t="s">
        <v>43</v>
      </c>
      <c r="F17" s="7"/>
      <c r="G17" s="7"/>
      <c r="H17" s="8"/>
      <c r="I17" s="7" t="s">
        <v>92</v>
      </c>
      <c r="J17" s="7"/>
    </row>
    <row r="18" spans="1:10">
      <c r="A18" s="7" t="s">
        <v>106</v>
      </c>
      <c r="B18" s="8"/>
      <c r="C18" s="7"/>
      <c r="D18" s="7"/>
      <c r="E18" s="7" t="s">
        <v>43</v>
      </c>
      <c r="F18" s="7"/>
      <c r="G18" s="7"/>
      <c r="H18" s="8"/>
      <c r="I18" s="7" t="s">
        <v>92</v>
      </c>
      <c r="J18" s="7"/>
    </row>
    <row r="19" spans="1:10">
      <c r="A19" s="7" t="s">
        <v>107</v>
      </c>
      <c r="B19" s="8"/>
      <c r="C19" s="7"/>
      <c r="D19" s="7"/>
      <c r="E19" s="7" t="s">
        <v>43</v>
      </c>
      <c r="F19" s="7"/>
      <c r="G19" s="7"/>
      <c r="H19" s="8"/>
      <c r="I19" s="7" t="s">
        <v>92</v>
      </c>
      <c r="J19" s="7"/>
    </row>
    <row r="20" spans="1:10">
      <c r="A20" s="7" t="s">
        <v>108</v>
      </c>
      <c r="B20" s="8"/>
      <c r="C20" s="7"/>
      <c r="D20" s="7"/>
      <c r="E20" s="7" t="s">
        <v>43</v>
      </c>
      <c r="F20" s="7"/>
      <c r="G20" s="7"/>
      <c r="H20" s="8"/>
      <c r="I20" s="7" t="s">
        <v>92</v>
      </c>
      <c r="J20" s="7"/>
    </row>
    <row r="21" spans="1:10">
      <c r="A21" s="7" t="s">
        <v>109</v>
      </c>
      <c r="B21" s="8"/>
      <c r="C21" s="7"/>
      <c r="D21" s="7"/>
      <c r="E21" s="7" t="s">
        <v>43</v>
      </c>
      <c r="F21" s="7"/>
      <c r="G21" s="7"/>
      <c r="H21" s="8"/>
      <c r="I21" s="7" t="s">
        <v>92</v>
      </c>
      <c r="J21" s="7"/>
    </row>
    <row r="22" spans="1:10">
      <c r="A22" s="7" t="s">
        <v>110</v>
      </c>
      <c r="B22" s="8"/>
      <c r="C22" s="7"/>
      <c r="D22" s="7"/>
      <c r="E22" s="7" t="s">
        <v>43</v>
      </c>
      <c r="F22" s="7"/>
      <c r="G22" s="7"/>
      <c r="H22" s="8"/>
      <c r="I22" s="7" t="s">
        <v>92</v>
      </c>
      <c r="J22" s="7"/>
    </row>
    <row r="23" spans="1:10">
      <c r="A23" s="7" t="s">
        <v>111</v>
      </c>
      <c r="B23" s="8"/>
      <c r="C23" s="7"/>
      <c r="D23" s="7"/>
      <c r="E23" s="7" t="s">
        <v>43</v>
      </c>
      <c r="F23" s="7"/>
      <c r="G23" s="7"/>
      <c r="H23" s="8"/>
      <c r="I23" s="7" t="s">
        <v>92</v>
      </c>
      <c r="J23" s="7"/>
    </row>
  </sheetData>
  <mergeCells count="1">
    <mergeCell ref="A1:J1"/>
  </mergeCells>
  <conditionalFormatting sqref="E4:E23">
    <cfRule type="cellIs" dxfId="0" priority="1" operator="equal">
      <formula>"High"</formula>
    </cfRule>
  </conditionalFormatting>
  <pageMargins left="0.75" right="0.75" top="1" bottom="1" header="0.5" footer="0.5"/>
  <pageSetup fitToHeight="0"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Lists!$A$4:$A$7</xm:f>
          </x14:formula1>
          <xm:sqref>F4:F23</xm:sqref>
        </x14:dataValidation>
        <x14:dataValidation type="list" allowBlank="1" xr:uid="{00000000-0002-0000-0300-000001000000}">
          <x14:formula1>
            <xm:f>Lists!$F$4:$F$6</xm:f>
          </x14:formula1>
          <xm:sqref>E4:E23</xm:sqref>
        </x14:dataValidation>
        <x14:dataValidation type="list" allowBlank="1" xr:uid="{00000000-0002-0000-0300-000002000000}">
          <x14:formula1>
            <xm:f>Lists!$E$4:$E$7</xm:f>
          </x14:formula1>
          <xm:sqref>I4:I23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showGridLines="0" workbookViewId="0">
      <selection sqref="A1:G1"/>
    </sheetView>
  </sheetViews>
  <sheetFormatPr defaultRowHeight="14.45"/>
  <cols>
    <col min="1" max="1" width="9" customWidth="1"/>
    <col min="2" max="4" width="40" customWidth="1"/>
    <col min="5" max="5" width="16" customWidth="1"/>
    <col min="6" max="6" width="14" customWidth="1"/>
    <col min="7" max="7" width="18" customWidth="1"/>
  </cols>
  <sheetData>
    <row r="1" spans="1:7" ht="27.95" customHeight="1">
      <c r="A1" s="12" t="s">
        <v>112</v>
      </c>
      <c r="B1" s="15"/>
      <c r="C1" s="15"/>
      <c r="D1" s="15"/>
      <c r="E1" s="15"/>
      <c r="F1" s="15"/>
      <c r="G1" s="15"/>
    </row>
    <row r="3" spans="1:7" ht="30" customHeight="1">
      <c r="A3" s="5" t="s">
        <v>16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</row>
    <row r="4" spans="1:7">
      <c r="A4" s="7">
        <v>1</v>
      </c>
      <c r="B4" s="7"/>
      <c r="C4" s="7"/>
      <c r="D4" s="7"/>
      <c r="E4" s="7"/>
      <c r="F4" s="8"/>
      <c r="G4" s="7" t="s">
        <v>22</v>
      </c>
    </row>
    <row r="5" spans="1:7">
      <c r="A5" s="7">
        <v>2</v>
      </c>
      <c r="B5" s="7"/>
      <c r="C5" s="7"/>
      <c r="D5" s="7"/>
      <c r="E5" s="7"/>
      <c r="F5" s="8"/>
      <c r="G5" s="7" t="s">
        <v>22</v>
      </c>
    </row>
    <row r="6" spans="1:7">
      <c r="A6" s="7">
        <v>3</v>
      </c>
      <c r="B6" s="7"/>
      <c r="C6" s="7"/>
      <c r="D6" s="7"/>
      <c r="E6" s="7"/>
      <c r="F6" s="8"/>
      <c r="G6" s="7" t="s">
        <v>22</v>
      </c>
    </row>
    <row r="7" spans="1:7">
      <c r="A7" s="7">
        <v>4</v>
      </c>
      <c r="B7" s="7"/>
      <c r="C7" s="7"/>
      <c r="D7" s="7"/>
      <c r="E7" s="7"/>
      <c r="F7" s="8"/>
      <c r="G7" s="7" t="s">
        <v>22</v>
      </c>
    </row>
    <row r="8" spans="1:7">
      <c r="A8" s="7">
        <v>5</v>
      </c>
      <c r="B8" s="7"/>
      <c r="C8" s="7"/>
      <c r="D8" s="7"/>
      <c r="E8" s="7"/>
      <c r="F8" s="8"/>
      <c r="G8" s="7" t="s">
        <v>22</v>
      </c>
    </row>
    <row r="9" spans="1:7">
      <c r="A9" s="7">
        <v>6</v>
      </c>
      <c r="B9" s="7"/>
      <c r="C9" s="7"/>
      <c r="D9" s="7"/>
      <c r="E9" s="7"/>
      <c r="F9" s="8"/>
      <c r="G9" s="7" t="s">
        <v>22</v>
      </c>
    </row>
    <row r="10" spans="1:7">
      <c r="A10" s="7">
        <v>7</v>
      </c>
      <c r="B10" s="7"/>
      <c r="C10" s="7"/>
      <c r="D10" s="7"/>
      <c r="E10" s="7"/>
      <c r="F10" s="8"/>
      <c r="G10" s="7" t="s">
        <v>22</v>
      </c>
    </row>
    <row r="11" spans="1:7">
      <c r="A11" s="7">
        <v>8</v>
      </c>
      <c r="B11" s="7"/>
      <c r="C11" s="7"/>
      <c r="D11" s="7"/>
      <c r="E11" s="7"/>
      <c r="F11" s="8"/>
      <c r="G11" s="7" t="s">
        <v>22</v>
      </c>
    </row>
    <row r="12" spans="1:7">
      <c r="A12" s="7">
        <v>9</v>
      </c>
      <c r="B12" s="7"/>
      <c r="C12" s="7"/>
      <c r="D12" s="7"/>
      <c r="E12" s="7"/>
      <c r="F12" s="8"/>
      <c r="G12" s="7" t="s">
        <v>22</v>
      </c>
    </row>
    <row r="13" spans="1:7">
      <c r="A13" s="7">
        <v>10</v>
      </c>
      <c r="B13" s="7"/>
      <c r="C13" s="7"/>
      <c r="D13" s="7"/>
      <c r="E13" s="7"/>
      <c r="F13" s="8"/>
      <c r="G13" s="7" t="s">
        <v>22</v>
      </c>
    </row>
  </sheetData>
  <mergeCells count="1">
    <mergeCell ref="A1:G1"/>
  </mergeCells>
  <pageMargins left="0.75" right="0.75" top="1" bottom="1" header="0.5" footer="0.5"/>
  <pageSetup fitToHeight="0"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Lists!$A$4:$A$7</xm:f>
          </x14:formula1>
          <xm:sqref>E4:E13</xm:sqref>
        </x14:dataValidation>
        <x14:dataValidation type="list" allowBlank="1" xr:uid="{00000000-0002-0000-0400-000001000000}">
          <x14:formula1>
            <xm:f>Lists!$B$4:$B$7</xm:f>
          </x14:formula1>
          <xm:sqref>G4:G13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showGridLines="0" workbookViewId="0">
      <selection sqref="A1:D1"/>
    </sheetView>
  </sheetViews>
  <sheetFormatPr defaultRowHeight="14.45"/>
  <cols>
    <col min="1" max="6" width="18" customWidth="1"/>
  </cols>
  <sheetData>
    <row r="1" spans="1:6" ht="27.95" customHeight="1">
      <c r="A1" s="12" t="s">
        <v>119</v>
      </c>
      <c r="B1" s="15"/>
      <c r="C1" s="15"/>
      <c r="D1" s="15"/>
      <c r="E1" s="11"/>
      <c r="F1" s="11"/>
    </row>
    <row r="3" spans="1:6">
      <c r="A3" s="10" t="s">
        <v>120</v>
      </c>
      <c r="B3" s="10" t="s">
        <v>20</v>
      </c>
      <c r="C3" s="10" t="s">
        <v>28</v>
      </c>
      <c r="D3" s="10" t="s">
        <v>26</v>
      </c>
      <c r="E3" s="10" t="s">
        <v>121</v>
      </c>
      <c r="F3" s="10" t="s">
        <v>88</v>
      </c>
    </row>
    <row r="4" spans="1:6">
      <c r="A4" s="3" t="s">
        <v>12</v>
      </c>
      <c r="B4" s="3" t="s">
        <v>22</v>
      </c>
      <c r="C4" s="3" t="s">
        <v>37</v>
      </c>
      <c r="D4" s="3" t="s">
        <v>36</v>
      </c>
      <c r="E4" s="3" t="s">
        <v>92</v>
      </c>
      <c r="F4" s="3" t="s">
        <v>37</v>
      </c>
    </row>
    <row r="5" spans="1:6">
      <c r="A5" s="3" t="s">
        <v>13</v>
      </c>
      <c r="B5" s="3" t="s">
        <v>3</v>
      </c>
      <c r="C5" s="3" t="s">
        <v>43</v>
      </c>
      <c r="D5" s="3" t="s">
        <v>122</v>
      </c>
      <c r="E5" s="3" t="s">
        <v>123</v>
      </c>
      <c r="F5" s="3" t="s">
        <v>43</v>
      </c>
    </row>
    <row r="6" spans="1:6">
      <c r="A6" s="3" t="s">
        <v>14</v>
      </c>
      <c r="B6" s="3" t="s">
        <v>4</v>
      </c>
      <c r="C6" s="3" t="s">
        <v>124</v>
      </c>
      <c r="D6" s="3" t="s">
        <v>125</v>
      </c>
      <c r="E6" s="3" t="s">
        <v>126</v>
      </c>
      <c r="F6" s="3" t="s">
        <v>124</v>
      </c>
    </row>
    <row r="7" spans="1:6">
      <c r="A7" s="3" t="s">
        <v>15</v>
      </c>
      <c r="B7" s="3" t="s">
        <v>23</v>
      </c>
      <c r="C7" s="11"/>
      <c r="D7" s="3" t="s">
        <v>127</v>
      </c>
      <c r="E7" s="3" t="s">
        <v>128</v>
      </c>
      <c r="F7" s="11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2026-09-23T16:31:39Z</dcterms:created>
  <dcterms:modified xsi:type="dcterms:W3CDTF">2026-10-03T18:56:29Z</dcterms:modified>
  <cp:category/>
  <cp:contentStatus/>
</cp:coreProperties>
</file>